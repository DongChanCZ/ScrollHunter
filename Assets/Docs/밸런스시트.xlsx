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범례" sheetId="1" state="visible" r:id="rId3"/>
    <sheet name="직업" sheetId="2" state="visible" r:id="rId4"/>
    <sheet name="스킬" sheetId="3" state="visible" r:id="rId5"/>
    <sheet name="덱시뮬" sheetId="4" state="visible" r:id="rId6"/>
    <sheet name="적" sheetId="5" state="visible" r:id="rId7"/>
    <sheet name="HP예산" sheetId="6" state="visible" r:id="rId8"/>
    <sheet name="인카운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<sst xmlns="http://schemas.openxmlformats.org/spreadsheetml/2006/main" count="269" uniqueCount="235">
  <si>
    <r>
      <rPr>
        <b val="true"/>
        <sz val="13"/>
        <rFont val="Arial"/>
        <family val="0"/>
        <charset val="1"/>
      </rPr>
      <t xml:space="preserve">Scroll Hunter — </t>
    </r>
    <r>
      <rPr>
        <b val="true"/>
        <sz val="13"/>
        <rFont val="Noto Sans CJK SC"/>
        <family val="2"/>
      </rPr>
      <t xml:space="preserve">밸런스 시트</t>
    </r>
  </si>
  <si>
    <r>
      <rPr>
        <i val="true"/>
        <sz val="9"/>
        <color rgb="FF808080"/>
        <rFont val="Noto Sans CJK SC"/>
        <family val="2"/>
      </rPr>
      <t xml:space="preserve">노란 칸만 입력하세요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검은 글자는 수식입니다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</si>
  <si>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색 규칙</t>
  </si>
  <si>
    <r>
      <rPr>
        <sz val="10"/>
        <color rgb="FF0000FF"/>
        <rFont val="Noto Sans CJK SC"/>
        <family val="2"/>
      </rPr>
      <t xml:space="preserve">노란 칸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파란 글자</t>
    </r>
  </si>
  <si>
    <r>
      <rPr>
        <sz val="10"/>
        <rFont val="Noto Sans CJK SC"/>
        <family val="2"/>
      </rPr>
      <t xml:space="preserve">직접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여기만 수정하세요</t>
    </r>
    <r>
      <rPr>
        <sz val="10"/>
        <rFont val="Arial"/>
        <family val="0"/>
        <charset val="1"/>
      </rPr>
      <t xml:space="preserve">.</t>
    </r>
  </si>
  <si>
    <t xml:space="preserve">검은 글자</t>
  </si>
  <si>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건드리지 마세요</t>
    </r>
    <r>
      <rPr>
        <sz val="10"/>
        <rFont val="Arial"/>
        <family val="0"/>
        <charset val="1"/>
      </rPr>
      <t xml:space="preserve">.</t>
    </r>
  </si>
  <si>
    <t xml:space="preserve">회색 이탤릭 행</t>
  </si>
  <si>
    <r>
      <rPr>
        <sz val="10"/>
        <rFont val="Noto Sans CJK SC"/>
        <family val="2"/>
      </rPr>
      <t xml:space="preserve">형식 참고용 예시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채운 뒤 삭제하세요</t>
    </r>
    <r>
      <rPr>
        <sz val="10"/>
        <rFont val="Arial"/>
        <family val="0"/>
        <charset val="1"/>
      </rPr>
      <t xml:space="preserve">.</t>
    </r>
  </si>
  <si>
    <t xml:space="preserve">시트 구성</t>
  </si>
  <si>
    <t xml:space="preserve">직업</t>
  </si>
  <si>
    <r>
      <rPr>
        <sz val="10"/>
        <rFont val="Noto Sans CJK SC"/>
        <family val="2"/>
      </rPr>
      <t xml:space="preserve">구현 직업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종의 기본 스펙</t>
    </r>
  </si>
  <si>
    <t xml:space="preserve">스킬</t>
  </si>
  <si>
    <r>
      <rPr>
        <sz val="10"/>
        <rFont val="Noto Sans CJK SC"/>
        <family val="2"/>
      </rPr>
      <t xml:space="preserve">스킬 풀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코스트당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시간당 기대 피해가 자동 계산됨</t>
    </r>
  </si>
  <si>
    <t xml:space="preserve">덱시뮬</t>
  </si>
  <si>
    <r>
      <rPr>
        <sz val="10"/>
        <rFont val="Noto Sans CJK SC"/>
        <family val="2"/>
      </rPr>
      <t xml:space="preserve">덱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시뮬레이션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코스트 병목과 행동 잠금 병목을 모두 계산 ★</t>
    </r>
  </si>
  <si>
    <t xml:space="preserve">적</t>
  </si>
  <si>
    <r>
      <rPr>
        <sz val="10"/>
        <rFont val="Noto Sans CJK SC"/>
        <family val="2"/>
      </rPr>
      <t xml:space="preserve">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보스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담당 색상별 스펙</t>
    </r>
  </si>
  <si>
    <t xml:space="preserve">인카운터</t>
  </si>
  <si>
    <r>
      <rPr>
        <sz val="10"/>
        <rFont val="Noto Sans CJK SC"/>
        <family val="2"/>
      </rPr>
      <t xml:space="preserve">전투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회의 목표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실측 시간 </t>
    </r>
    <r>
      <rPr>
        <sz val="10"/>
        <rFont val="Arial"/>
        <family val="0"/>
        <charset val="1"/>
      </rPr>
      <t xml:space="preserve">(18</t>
    </r>
    <r>
      <rPr>
        <sz val="10"/>
        <rFont val="Noto Sans CJK SC"/>
        <family val="2"/>
      </rPr>
      <t xml:space="preserve">일차 갱신</t>
    </r>
    <r>
      <rPr>
        <sz val="10"/>
        <rFont val="Arial"/>
        <family val="0"/>
        <charset val="1"/>
      </rPr>
      <t xml:space="preserve">)</t>
    </r>
  </si>
  <si>
    <t xml:space="preserve">공용 가정</t>
  </si>
  <si>
    <t xml:space="preserve">항목</t>
  </si>
  <si>
    <t xml:space="preserve">설명</t>
  </si>
  <si>
    <t xml:space="preserve">값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</si>
  <si>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출처</t>
    </r>
  </si>
  <si>
    <t xml:space="preserve">크리티컬 배율</t>
  </si>
  <si>
    <t xml:space="preserve">크리티컬 발생 시 피해 배수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</si>
  <si>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근거를 적으세요</t>
    </r>
    <r>
      <rPr>
        <sz val="10"/>
        <rFont val="Arial"/>
        <family val="0"/>
        <charset val="1"/>
      </rPr>
      <t xml:space="preserve">]</t>
    </r>
  </si>
  <si>
    <t xml:space="preserve">방어 상수</t>
  </si>
  <si>
    <r>
      <rPr>
        <sz val="10"/>
        <rFont val="Noto Sans CJK SC"/>
        <family val="2"/>
      </rPr>
      <t xml:space="preserve">방어감소율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방어력 </t>
    </r>
    <r>
      <rPr>
        <sz val="10"/>
        <rFont val="Arial"/>
        <family val="0"/>
        <charset val="1"/>
      </rPr>
      <t xml:space="preserve">/ (</t>
    </r>
    <r>
      <rPr>
        <sz val="10"/>
        <rFont val="Noto Sans CJK SC"/>
        <family val="2"/>
      </rPr>
      <t xml:space="preserve">방어력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상수</t>
    </r>
    <r>
      <rPr>
        <sz val="10"/>
        <rFont val="Arial"/>
        <family val="0"/>
        <charset val="1"/>
      </rPr>
      <t xml:space="preserve">)</t>
    </r>
  </si>
  <si>
    <t xml:space="preserve">기준 적 방어력</t>
  </si>
  <si>
    <t xml:space="preserve">스킬 기대 피해 계산 기준값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</si>
  <si>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잡몹 평균 등 근거</t>
    </r>
    <r>
      <rPr>
        <sz val="10"/>
        <rFont val="Arial"/>
        <family val="0"/>
        <charset val="1"/>
      </rPr>
      <t xml:space="preserve">]</t>
    </r>
  </si>
  <si>
    <t xml:space="preserve">기준 방어감소율</t>
  </si>
  <si>
    <t xml:space="preserve">위 두 값으로 자동 계산</t>
  </si>
  <si>
    <t xml:space="preserve">수식</t>
  </si>
  <si>
    <t xml:space="preserve">코스트 초당 회복량</t>
  </si>
  <si>
    <t xml:space="preserve">실시간 충전 속도</t>
  </si>
  <si>
    <t xml:space="preserve">코스트 상한</t>
  </si>
  <si>
    <t xml:space="preserve">초과분은 소멸</t>
  </si>
  <si>
    <t xml:space="preserve">전투 시작 코스트</t>
  </si>
  <si>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GCD (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</si>
  <si>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행동 잠금 </t>
    </r>
    <r>
      <rPr>
        <sz val="10"/>
        <rFont val="Arial"/>
        <family val="0"/>
        <charset val="1"/>
      </rPr>
      <t xml:space="preserve">= MAX(</t>
    </r>
    <r>
      <rPr>
        <sz val="10"/>
        <rFont val="Noto Sans CJK SC"/>
        <family val="2"/>
      </rPr>
      <t xml:space="preserve">캐스팅 시간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</si>
  <si>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확정값 </t>
    </r>
    <r>
      <rPr>
        <sz val="10"/>
        <rFont val="Arial"/>
        <family val="0"/>
        <charset val="1"/>
      </rPr>
      <t xml:space="preserve">(10_</t>
    </r>
    <r>
      <rPr>
        <sz val="10"/>
        <rFont val="Noto Sans CJK SC"/>
        <family val="2"/>
      </rPr>
      <t xml:space="preserve">결정사항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로그 </t>
    </r>
    <r>
      <rPr>
        <sz val="10"/>
        <rFont val="Arial"/>
        <family val="0"/>
        <charset val="1"/>
      </rPr>
      <t xml:space="preserve">A1). </t>
    </r>
    <r>
      <rPr>
        <sz val="10"/>
        <rFont val="Noto Sans CJK SC"/>
        <family val="2"/>
      </rPr>
      <t xml:space="preserve">코스트가 꽉 찼을 때의 연타 속도를 제한</t>
    </r>
  </si>
  <si>
    <r>
      <rPr>
        <sz val="10"/>
        <rFont val="Noto Sans CJK SC"/>
        <family val="2"/>
      </rPr>
      <t xml:space="preserve">목표 전투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잡몹</t>
    </r>
    <r>
      <rPr>
        <sz val="10"/>
        <rFont val="Arial"/>
        <family val="0"/>
        <charset val="1"/>
      </rPr>
      <t xml:space="preserve">)</t>
    </r>
  </si>
  <si>
    <t xml:space="preserve">초</t>
  </si>
  <si>
    <r>
      <rPr>
        <sz val="10"/>
        <rFont val="Noto Sans CJK SC"/>
        <family val="2"/>
      </rPr>
      <t xml:space="preserve">목표 전투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</si>
  <si>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포션 횟수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런 전체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</si>
  <si>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씩 회복</t>
    </r>
  </si>
  <si>
    <r>
      <rPr>
        <sz val="10"/>
        <rFont val="Noto Sans CJK SC"/>
        <family val="2"/>
      </rPr>
      <t xml:space="preserve">확정값 </t>
    </r>
    <r>
      <rPr>
        <sz val="10"/>
        <rFont val="Arial"/>
        <family val="0"/>
        <charset val="1"/>
      </rPr>
      <t xml:space="preserve">(10_</t>
    </r>
    <r>
      <rPr>
        <sz val="10"/>
        <rFont val="Noto Sans CJK SC"/>
        <family val="2"/>
      </rPr>
      <t xml:space="preserve">결정사항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로그 </t>
    </r>
    <r>
      <rPr>
        <sz val="10"/>
        <rFont val="Arial"/>
        <family val="0"/>
        <charset val="1"/>
      </rPr>
      <t xml:space="preserve">A8)</t>
    </r>
  </si>
  <si>
    <t xml:space="preserve">잡몹전 평균 적 수</t>
  </si>
  <si>
    <t xml:space="preserve">광역기 실효 피해 계산용</t>
  </si>
  <si>
    <r>
      <rPr>
        <sz val="10"/>
        <rFont val="Noto Sans CJK SC"/>
        <family val="2"/>
      </rPr>
      <t xml:space="preserve">인카운터 </t>
    </r>
    <r>
      <rPr>
        <sz val="10"/>
        <rFont val="Arial"/>
        <family val="0"/>
        <charset val="1"/>
      </rPr>
      <t xml:space="preserve">1~4</t>
    </r>
    <r>
      <rPr>
        <sz val="10"/>
        <rFont val="Noto Sans CJK SC"/>
        <family val="2"/>
      </rPr>
      <t xml:space="preserve">의 적 수 평균 </t>
    </r>
    <r>
      <rPr>
        <sz val="10"/>
        <rFont val="Arial"/>
        <family val="0"/>
        <charset val="1"/>
      </rPr>
      <t xml:space="preserve">(2,2,2,3)</t>
    </r>
  </si>
  <si>
    <r>
      <rPr>
        <b val="true"/>
        <sz val="10"/>
        <color rgb="FFC00000"/>
        <rFont val="Noto Sans CJK SC"/>
        <family val="2"/>
      </rPr>
      <t xml:space="preserve">주의</t>
    </r>
    <r>
      <rPr>
        <b val="true"/>
        <sz val="10"/>
        <color rgb="FFC00000"/>
        <rFont val="Arial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기획 문서</t>
    </r>
    <r>
      <rPr>
        <b val="true"/>
        <sz val="10"/>
        <color rgb="FFC00000"/>
        <rFont val="Arial"/>
        <family val="0"/>
        <charset val="1"/>
      </rPr>
      <t xml:space="preserve">(02~04)</t>
    </r>
    <r>
      <rPr>
        <b val="true"/>
        <sz val="10"/>
        <color rgb="FFC00000"/>
        <rFont val="Noto Sans CJK SC"/>
        <family val="2"/>
      </rPr>
      <t xml:space="preserve">의 수치는 이 파일과 반드시 일치시키세요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이 파일이 원본입니다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</si>
  <si>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사양을 변경하면 해당 기획서의 「변경 이력」 표에도 반드시 기록하세요</t>
    </r>
    <r>
      <rPr>
        <b val="true"/>
        <sz val="10"/>
        <color rgb="FFC00000"/>
        <rFont val="Arial"/>
        <family val="0"/>
        <charset val="1"/>
      </rPr>
      <t xml:space="preserve">. (P0 </t>
    </r>
    <r>
      <rPr>
        <b val="true"/>
        <sz val="10"/>
        <color rgb="FFC00000"/>
        <rFont val="Noto Sans CJK SC"/>
        <family val="2"/>
      </rPr>
      <t xml:space="preserve">대응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</si>
  <si>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직업 스펙</t>
  </si>
  <si>
    <r>
      <rPr>
        <i val="true"/>
        <sz val="9"/>
        <color rgb="FF808080"/>
        <rFont val="Noto Sans CJK SC"/>
        <family val="2"/>
      </rPr>
      <t xml:space="preserve">구현 직업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종</t>
    </r>
    <r>
      <rPr>
        <i val="true"/>
        <sz val="9"/>
        <color rgb="FF808080"/>
        <rFont val="Arial"/>
        <family val="0"/>
        <charset val="1"/>
      </rPr>
      <t xml:space="preserve">. F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기대 크리 배율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자동 계산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</si>
  <si>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이름</t>
  </si>
  <si>
    <t xml:space="preserve">HP</t>
  </si>
  <si>
    <t xml:space="preserve">방어력</t>
  </si>
  <si>
    <t xml:space="preserve">크리티컬률</t>
  </si>
  <si>
    <t xml:space="preserve">기대 크리 배율</t>
  </si>
  <si>
    <t xml:space="preserve">설계 메모</t>
  </si>
  <si>
    <t xml:space="preserve">마법사</t>
  </si>
  <si>
    <r>
      <rPr>
        <sz val="10"/>
        <color rgb="FF0000FF"/>
        <rFont val="Noto Sans CJK SC"/>
        <family val="2"/>
      </rPr>
      <t xml:space="preserve">공격력 스탯 없음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피해는 스킬 피해량으로만 결정된다</t>
    </r>
  </si>
  <si>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Noto Sans CJK SC"/>
        <family val="2"/>
      </rPr>
      <t xml:space="preserve">행이 실제 데이터입니다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스킬 시트가 이 행을 참조하므로 행을 옮기지 마세요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</si>
  <si>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공격력 스탯은 없습니다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최종피해 </t>
    </r>
    <r>
      <rPr>
        <b val="true"/>
        <sz val="10"/>
        <color rgb="FFC00000"/>
        <rFont val="Arial"/>
        <family val="0"/>
        <charset val="1"/>
      </rPr>
      <t xml:space="preserve">= (</t>
    </r>
    <r>
      <rPr>
        <b val="true"/>
        <sz val="10"/>
        <color rgb="FFC00000"/>
        <rFont val="Noto Sans CJK SC"/>
        <family val="2"/>
      </rPr>
      <t xml:space="preserve">스킬 피해량 </t>
    </r>
    <r>
      <rPr>
        <b val="true"/>
        <sz val="10"/>
        <color rgb="FFC00000"/>
        <rFont val="Arial"/>
        <family val="0"/>
        <charset val="1"/>
      </rPr>
      <t xml:space="preserve">x </t>
    </r>
    <r>
      <rPr>
        <b val="true"/>
        <sz val="10"/>
        <color rgb="FFC00000"/>
        <rFont val="Noto Sans CJK SC"/>
        <family val="2"/>
      </rPr>
      <t xml:space="preserve">타수</t>
    </r>
    <r>
      <rPr>
        <b val="true"/>
        <sz val="10"/>
        <color rgb="FFC00000"/>
        <rFont val="Arial"/>
        <family val="0"/>
        <charset val="1"/>
      </rPr>
      <t xml:space="preserve">) x (1 - </t>
    </r>
    <r>
      <rPr>
        <b val="true"/>
        <sz val="10"/>
        <color rgb="FFC00000"/>
        <rFont val="Noto Sans CJK SC"/>
        <family val="2"/>
      </rPr>
      <t xml:space="preserve">방어감소율</t>
    </r>
    <r>
      <rPr>
        <b val="true"/>
        <sz val="10"/>
        <color rgb="FFC00000"/>
        <rFont val="Arial"/>
        <family val="0"/>
        <charset val="1"/>
      </rPr>
      <t xml:space="preserve">) x </t>
    </r>
    <r>
      <rPr>
        <b val="true"/>
        <sz val="10"/>
        <color rgb="FFC00000"/>
        <rFont val="Noto Sans CJK SC"/>
        <family val="2"/>
      </rPr>
      <t xml:space="preserve">크리배율</t>
    </r>
  </si>
  <si>
    <r>
      <rPr>
        <b val="true"/>
        <sz val="13"/>
        <rFont val="Noto Sans CJK SC"/>
        <family val="2"/>
      </rPr>
      <t xml:space="preserve">스킬 풀 밸런스 </t>
    </r>
    <r>
      <rPr>
        <b val="true"/>
        <sz val="13"/>
        <rFont val="Arial"/>
        <family val="0"/>
        <charset val="1"/>
      </rPr>
      <t xml:space="preserve">(14</t>
    </r>
    <r>
      <rPr>
        <b val="true"/>
        <sz val="13"/>
        <rFont val="Noto Sans CJK SC"/>
        <family val="2"/>
      </rPr>
      <t xml:space="preserve">종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</si>
  <si>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피해량은 계수가 아니라 절대값입니다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카드에 적히는 숫자가 곧 이 값입니다</t>
    </r>
    <r>
      <rPr>
        <i val="true"/>
        <sz val="9"/>
        <color rgb="FF808080"/>
        <rFont val="Arial"/>
        <family val="0"/>
        <charset val="1"/>
      </rPr>
      <t xml:space="preserve">. F·I~N</t>
    </r>
    <r>
      <rPr>
        <i val="true"/>
        <sz val="9"/>
        <color rgb="FF808080"/>
        <rFont val="Noto Sans CJK SC"/>
        <family val="2"/>
      </rPr>
      <t xml:space="preserve">열 자동 계산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분류에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광역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이 포함되면 잡몹전 기대 피해에 평균 적 수가 곱해집니다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</si>
  <si>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ID</t>
  </si>
  <si>
    <t xml:space="preserve">스킬명</t>
  </si>
  <si>
    <t xml:space="preserve">분류</t>
  </si>
  <si>
    <t xml:space="preserve">코스트</t>
  </si>
  <si>
    <r>
      <rPr>
        <b val="true"/>
        <sz val="10"/>
        <color rgb="FFFFFFFF"/>
        <rFont val="Noto Sans CJK SC"/>
        <family val="2"/>
      </rPr>
      <t xml:space="preserve">캐스팅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</si>
  <si>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잠금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</si>
  <si>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피해량</t>
  </si>
  <si>
    <t xml:space="preserve">타수</t>
  </si>
  <si>
    <t xml:space="preserve">총 피해량</t>
  </si>
  <si>
    <r>
      <rPr>
        <b val="true"/>
        <sz val="10"/>
        <color rgb="FFFFFFFF"/>
        <rFont val="Noto Sans CJK SC"/>
        <family val="2"/>
      </rPr>
      <t xml:space="preserve">기대 피해 </t>
    </r>
    <r>
      <rPr>
        <b val="true"/>
        <sz val="10"/>
        <color rgb="FFFFFFFF"/>
        <rFont val="Arial"/>
        <family val="0"/>
        <charset val="1"/>
      </rPr>
      <t xml:space="preserve">(1</t>
    </r>
    <r>
      <rPr>
        <b val="true"/>
        <sz val="10"/>
        <color rgb="FFFFFFFF"/>
        <rFont val="Noto Sans CJK SC"/>
        <family val="2"/>
      </rPr>
      <t xml:space="preserve">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</si>
  <si>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기대 피해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잡몹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</si>
  <si>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코스트당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보스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</si>
  <si>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코스트당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잡몹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</si>
  <si>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시간당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잡몹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</si>
  <si>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방어도 부여</t>
  </si>
  <si>
    <r>
      <rPr>
        <b val="true"/>
        <sz val="10"/>
        <color rgb="FFFFFFFF"/>
        <rFont val="Noto Sans CJK SC"/>
        <family val="2"/>
      </rPr>
      <t xml:space="preserve">경직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</si>
  <si>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설계 의도</t>
  </si>
  <si>
    <r>
      <rPr>
        <b val="true"/>
        <sz val="10"/>
        <color rgb="FFFFFFFF"/>
        <rFont val="Noto Sans CJK SC"/>
        <family val="2"/>
      </rPr>
      <t xml:space="preserve">검증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코스트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</si>
  <si>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검증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</si>
  <si>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SK-A</t>
  </si>
  <si>
    <t xml:space="preserve">화염탄</t>
  </si>
  <si>
    <r>
      <rPr>
        <sz val="10"/>
        <color rgb="FF0000FF"/>
        <rFont val="Noto Sans CJK SC"/>
        <family val="2"/>
      </rPr>
      <t xml:space="preserve">딜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단일</t>
    </r>
  </si>
  <si>
    <r>
      <rPr>
        <sz val="10"/>
        <color rgb="FF0000FF"/>
        <rFont val="Noto Sans CJK SC"/>
        <family val="2"/>
      </rPr>
      <t xml:space="preserve">프로토타입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단계 구현</t>
    </r>
    <r>
      <rPr>
        <sz val="10"/>
        <color rgb="FF0000FF"/>
        <rFont val="Arial"/>
        <family val="0"/>
        <charset val="1"/>
      </rPr>
      <t xml:space="preserve">. Skill_Fireball</t>
    </r>
  </si>
  <si>
    <t xml:space="preserve">SK-B</t>
  </si>
  <si>
    <t xml:space="preserve">서리화살</t>
  </si>
  <si>
    <t xml:space="preserve">Skill_Frostbolt</t>
  </si>
  <si>
    <t xml:space="preserve">SK-C</t>
  </si>
  <si>
    <t xml:space="preserve">수정방패</t>
  </si>
  <si>
    <t xml:space="preserve">방어</t>
  </si>
  <si>
    <r>
      <rPr>
        <sz val="10"/>
        <color rgb="FF0000FF"/>
        <rFont val="Arial"/>
        <family val="0"/>
        <charset val="1"/>
      </rPr>
      <t xml:space="preserve">Skill_CrystalShield. </t>
    </r>
    <r>
      <rPr>
        <sz val="10"/>
        <color rgb="FF0000FF"/>
        <rFont val="Noto Sans CJK SC"/>
        <family val="2"/>
      </rPr>
      <t xml:space="preserve">방어도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은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단계에서 적용</t>
    </r>
  </si>
  <si>
    <t xml:space="preserve">SK-D</t>
  </si>
  <si>
    <t xml:space="preserve">침묵</t>
  </si>
  <si>
    <t xml:space="preserve">차단</t>
  </si>
  <si>
    <r>
      <rPr>
        <sz val="10"/>
        <color rgb="FF0000FF"/>
        <rFont val="Arial"/>
        <family val="0"/>
        <charset val="1"/>
      </rPr>
      <t xml:space="preserve">Skill_Silence. </t>
    </r>
    <r>
      <rPr>
        <sz val="10"/>
        <color rgb="FF0000FF"/>
        <rFont val="Noto Sans CJK SC"/>
        <family val="2"/>
      </rPr>
      <t xml:space="preserve">차단 효과는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단계에서 적용</t>
    </r>
  </si>
  <si>
    <t xml:space="preserve">SK-E</t>
  </si>
  <si>
    <t xml:space="preserve">연쇄번개</t>
  </si>
  <si>
    <r>
      <rPr>
        <sz val="10"/>
        <color rgb="FF0000FF"/>
        <rFont val="Arial"/>
        <family val="0"/>
        <charset val="1"/>
      </rPr>
      <t xml:space="preserve">Skill_ChainLightning. 5~8</t>
    </r>
    <r>
      <rPr>
        <sz val="10"/>
        <color rgb="FF0000FF"/>
        <rFont val="Noto Sans CJK SC"/>
        <family val="2"/>
      </rPr>
      <t xml:space="preserve">일차에 광역으로 전환 검토</t>
    </r>
  </si>
  <si>
    <t xml:space="preserve">SK-F</t>
  </si>
  <si>
    <t xml:space="preserve">폭발</t>
  </si>
  <si>
    <r>
      <rPr>
        <sz val="10"/>
        <color rgb="FF0000FF"/>
        <rFont val="Arial"/>
        <family val="0"/>
        <charset val="1"/>
      </rPr>
      <t xml:space="preserve">Skill_Explosion. </t>
    </r>
    <r>
      <rPr>
        <sz val="10"/>
        <color rgb="FF0000FF"/>
        <rFont val="Noto Sans CJK SC"/>
        <family val="2"/>
      </rPr>
      <t xml:space="preserve">광역 전환 후보</t>
    </r>
  </si>
  <si>
    <t xml:space="preserve">SK-G</t>
  </si>
  <si>
    <t xml:space="preserve">관통</t>
  </si>
  <si>
    <t xml:space="preserve">Skill_Pierce</t>
  </si>
  <si>
    <t xml:space="preserve">SK-H</t>
  </si>
  <si>
    <t xml:space="preserve">불기둥</t>
  </si>
  <si>
    <r>
      <rPr>
        <sz val="10"/>
        <color rgb="FF0000FF"/>
        <rFont val="Arial"/>
        <family val="0"/>
        <charset val="1"/>
      </rPr>
      <t xml:space="preserve">Skill_FlamePillar. </t>
    </r>
    <r>
      <rPr>
        <sz val="10"/>
        <color rgb="FF0000FF"/>
        <rFont val="Noto Sans CJK SC"/>
        <family val="2"/>
      </rPr>
      <t xml:space="preserve">광역 전환 후보</t>
    </r>
  </si>
  <si>
    <r>
      <rPr>
        <b val="true"/>
        <sz val="10"/>
        <rFont val="Noto Sans CJK SC"/>
        <family val="2"/>
      </rPr>
      <t xml:space="preserve">밸런스 검증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딜 카드만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잡몹전 기준</t>
    </r>
    <r>
      <rPr>
        <b val="true"/>
        <sz val="10"/>
        <rFont val="Arial"/>
        <family val="0"/>
        <charset val="1"/>
      </rPr>
      <t xml:space="preserve">)</t>
    </r>
  </si>
  <si>
    <t xml:space="preserve">코스트당 최대</t>
  </si>
  <si>
    <r>
      <rPr>
        <i val="true"/>
        <sz val="9"/>
        <color rgb="FF808080"/>
        <rFont val="Noto Sans CJK SC"/>
        <family val="2"/>
      </rPr>
      <t xml:space="preserve">차단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방어 카드는 제외됨</t>
    </r>
  </si>
  <si>
    <t xml:space="preserve">코스트당 최소</t>
  </si>
  <si>
    <t xml:space="preserve">코스트당 비율</t>
  </si>
  <si>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1.30 </t>
    </r>
    <r>
      <rPr>
        <i val="true"/>
        <sz val="9"/>
        <color rgb="FF808080"/>
        <rFont val="Noto Sans CJK SC"/>
        <family val="2"/>
      </rPr>
      <t xml:space="preserve">이하</t>
    </r>
  </si>
  <si>
    <t xml:space="preserve">시간당 최대</t>
  </si>
  <si>
    <t xml:space="preserve">잠금 시간 대비 효율</t>
  </si>
  <si>
    <t xml:space="preserve">시간당 최소</t>
  </si>
  <si>
    <t xml:space="preserve">시간당 비율</t>
  </si>
  <si>
    <r>
      <rPr>
        <sz val="10"/>
        <rFont val="Noto Sans CJK SC"/>
        <family val="2"/>
      </rPr>
      <t xml:space="preserve">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단일 장수</t>
    </r>
  </si>
  <si>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</si>
  <si>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광역 장수</t>
    </r>
  </si>
  <si>
    <t xml:space="preserve">차단 카드 장수</t>
  </si>
  <si>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3</t>
    </r>
  </si>
  <si>
    <t xml:space="preserve">방어 카드 장수</t>
  </si>
  <si>
    <r>
      <rPr>
        <b val="true"/>
        <sz val="10"/>
        <color rgb="FFC00000"/>
        <rFont val="Noto Sans CJK SC"/>
        <family val="2"/>
      </rPr>
      <t xml:space="preserve">두 비율이 모두 </t>
    </r>
    <r>
      <rPr>
        <b val="true"/>
        <sz val="10"/>
        <color rgb="FFC00000"/>
        <rFont val="Arial"/>
        <family val="0"/>
        <charset val="1"/>
      </rPr>
      <t xml:space="preserve">1.3 </t>
    </r>
    <r>
      <rPr>
        <b val="true"/>
        <sz val="10"/>
        <color rgb="FFC00000"/>
        <rFont val="Noto Sans CJK SC"/>
        <family val="2"/>
      </rPr>
      <t xml:space="preserve">이하여야 합니다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한쪽만 맞추면 무조건 채용되는 카드가 생깁니다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</si>
  <si>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함정</t>
    </r>
    <r>
      <rPr>
        <b val="true"/>
        <sz val="10"/>
        <color rgb="FFC00000"/>
        <rFont val="Arial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차단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방어 카드에 딜을 붙이면 트레이드오프가 사라집니다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대응 카드는 딜을 포기하는 대가여야 합니다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</si>
  <si>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단일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광역 설계</t>
    </r>
  </si>
  <si>
    <r>
      <rPr>
        <i val="true"/>
        <sz val="9"/>
        <color rgb="FF808080"/>
        <rFont val="Noto Sans CJK SC"/>
        <family val="2"/>
      </rPr>
      <t xml:space="preserve">손익분기는 적 </t>
    </r>
    <r>
      <rPr>
        <i val="true"/>
        <sz val="9"/>
        <color rgb="FF808080"/>
        <rFont val="Arial"/>
        <family val="0"/>
        <charset val="1"/>
      </rPr>
      <t xml:space="preserve">2</t>
    </r>
    <r>
      <rPr>
        <i val="true"/>
        <sz val="9"/>
        <color rgb="FF808080"/>
        <rFont val="Noto Sans CJK SC"/>
        <family val="2"/>
      </rPr>
      <t xml:space="preserve">체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같은 코스트라면 광역 피해량은 단일 피해량의 절반입니다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</si>
  <si>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L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보스 기준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과 </t>
    </r>
    <r>
      <rPr>
        <i val="true"/>
        <sz val="9"/>
        <color rgb="FF808080"/>
        <rFont val="Arial"/>
        <family val="0"/>
        <charset val="1"/>
      </rPr>
      <t xml:space="preserve">M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잡몹 기준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의 격차가 크면 그 카드는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상황용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격차가 없으면 범용입니다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</si>
  <si>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보스전은 적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체이므로 광역기는 </t>
    </r>
    <r>
      <rPr>
        <i val="true"/>
        <sz val="9"/>
        <color rgb="FF808080"/>
        <rFont val="Arial"/>
        <family val="0"/>
        <charset val="1"/>
      </rPr>
      <t xml:space="preserve">L</t>
    </r>
    <r>
      <rPr>
        <i val="true"/>
        <sz val="9"/>
        <color rgb="FF808080"/>
        <rFont val="Noto Sans CJK SC"/>
        <family val="2"/>
      </rPr>
      <t xml:space="preserve">열 값만 나옵니다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덱 </t>
    </r>
    <r>
      <rPr>
        <i val="true"/>
        <sz val="9"/>
        <color rgb="FF808080"/>
        <rFont val="Arial"/>
        <family val="0"/>
        <charset val="1"/>
      </rPr>
      <t xml:space="preserve">8</t>
    </r>
    <r>
      <rPr>
        <i val="true"/>
        <sz val="9"/>
        <color rgb="FF808080"/>
        <rFont val="Noto Sans CJK SC"/>
        <family val="2"/>
      </rPr>
      <t xml:space="preserve">장에 상황용을 몇 장 넣을지가 결정이 됩니다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</si>
  <si>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광역기의 대가는 코스트가 아니라 캐스팅 시간</t>
    </r>
    <r>
      <rPr>
        <i val="true"/>
        <sz val="9"/>
        <color rgb="FF808080"/>
        <rFont val="Arial"/>
        <family val="0"/>
        <charset val="1"/>
      </rPr>
      <t xml:space="preserve">(0.8~1.2</t>
    </r>
    <r>
      <rPr>
        <i val="true"/>
        <sz val="9"/>
        <color rgb="FF808080"/>
        <rFont val="Noto Sans CJK SC"/>
        <family val="2"/>
      </rPr>
      <t xml:space="preserve">초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코스트를 올리면 피해량도 비례해 올리세요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</si>
  <si>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덱 </t>
    </r>
    <r>
      <rPr>
        <b val="true"/>
        <sz val="13"/>
        <rFont val="Arial"/>
        <family val="0"/>
        <charset val="1"/>
      </rPr>
      <t xml:space="preserve">8</t>
    </r>
    <r>
      <rPr>
        <b val="true"/>
        <sz val="13"/>
        <rFont val="Noto Sans CJK SC"/>
        <family val="2"/>
      </rPr>
      <t xml:space="preserve">장 구성 시뮬레이션</t>
    </r>
  </si>
  <si>
    <r>
      <rPr>
        <i val="true"/>
        <sz val="9"/>
        <color rgb="FF808080"/>
        <rFont val="Arial"/>
        <family val="0"/>
        <charset val="1"/>
      </rPr>
      <t xml:space="preserve">B</t>
    </r>
    <r>
      <rPr>
        <i val="true"/>
        <sz val="9"/>
        <color rgb="FF808080"/>
        <rFont val="Noto Sans CJK SC"/>
        <family val="2"/>
      </rPr>
      <t xml:space="preserve">열에 스킬명만 입력하면 나머지는 자동 계산됩니다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스킬 시트의 스킬명과 정확히 일치해야 합니다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</si>
  <si>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슬롯</t>
  </si>
  <si>
    <t xml:space="preserve">기대 피해</t>
  </si>
  <si>
    <t xml:space="preserve">위치</t>
  </si>
  <si>
    <t xml:space="preserve">손에 넣기까지 필요 코스트</t>
  </si>
  <si>
    <r>
      <rPr>
        <b val="true"/>
        <sz val="10"/>
        <color rgb="FFFFFFFF"/>
        <rFont val="Noto Sans CJK SC"/>
        <family val="2"/>
      </rPr>
      <t xml:space="preserve">코스트 병목 대기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</si>
  <si>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잠금 병목 대기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</si>
  <si>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대응카드 코스트기준</t>
  </si>
  <si>
    <t xml:space="preserve">대응카드 잠금기준</t>
  </si>
  <si>
    <t xml:space="preserve">검증</t>
  </si>
  <si>
    <t xml:space="preserve">덱 총 코스트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</si>
  <si>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사이클 최소 소요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</si>
  <si>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목표 전투 시간의 </t>
    </r>
    <r>
      <rPr>
        <i val="true"/>
        <sz val="9"/>
        <color rgb="FF808080"/>
        <rFont val="Arial"/>
        <family val="0"/>
        <charset val="1"/>
      </rPr>
      <t xml:space="preserve">0.8~1.2</t>
    </r>
    <r>
      <rPr>
        <i val="true"/>
        <sz val="9"/>
        <color rgb="FF808080"/>
        <rFont val="Noto Sans CJK SC"/>
        <family val="2"/>
      </rPr>
      <t xml:space="preserve">배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짧으면 덱 구성의 의미가 약해집니다</t>
    </r>
  </si>
  <si>
    <r>
      <rPr>
        <sz val="10"/>
        <rFont val="Noto Sans CJK SC"/>
        <family val="2"/>
      </rPr>
      <t xml:space="preserve">덱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사이클 총 잠금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</si>
  <si>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사이클 시간보다 크면 코스트가 아니라 잠금이 병목입니다</t>
    </r>
  </si>
  <si>
    <r>
      <rPr>
        <sz val="10"/>
        <rFont val="Noto Sans CJK SC"/>
        <family val="2"/>
      </rPr>
      <t xml:space="preserve">덱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사이클 총 기대 피해</t>
    </r>
  </si>
  <si>
    <t xml:space="preserve">초당 기대 피해</t>
  </si>
  <si>
    <t xml:space="preserve">적 예상 처치 시간 계산에 사용됨</t>
  </si>
  <si>
    <t xml:space="preserve">목표 전투 시간 대비 사이클 수</t>
  </si>
  <si>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1.0~1.5</t>
    </r>
    <r>
      <rPr>
        <i val="true"/>
        <sz val="9"/>
        <color rgb="FF80808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</si>
  <si>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대응 카드 장수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방어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</si>
  <si>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권장 </t>
    </r>
    <r>
      <rPr>
        <i val="true"/>
        <sz val="9"/>
        <color rgb="FF808080"/>
        <rFont val="Arial"/>
        <family val="0"/>
        <charset val="1"/>
      </rPr>
      <t xml:space="preserve">2~3</t>
    </r>
    <r>
      <rPr>
        <i val="true"/>
        <sz val="9"/>
        <color rgb="FF808080"/>
        <rFont val="Noto Sans CJK SC"/>
        <family val="2"/>
      </rPr>
      <t xml:space="preserve">장</t>
    </r>
  </si>
  <si>
    <r>
      <rPr>
        <sz val="10"/>
        <rFont val="Noto Sans CJK SC"/>
        <family val="2"/>
      </rPr>
      <t xml:space="preserve">대응 카드 최악 대기 — 코스트 </t>
    </r>
    <r>
      <rPr>
        <sz val="10"/>
        <rFont val="Arial"/>
        <family val="0"/>
        <charset val="1"/>
      </rPr>
      <t xml:space="preserve">0</t>
    </r>
  </si>
  <si>
    <r>
      <rPr>
        <i val="true"/>
        <sz val="9"/>
        <color rgb="FF808080"/>
        <rFont val="Noto Sans CJK SC"/>
        <family val="2"/>
      </rPr>
      <t xml:space="preserve">코스트가 비어 있을 때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적의 최장 캐스팅보다 길면 대응 불가</t>
    </r>
  </si>
  <si>
    <t xml:space="preserve">대응 카드 최소 대기 — 코스트 충분</t>
  </si>
  <si>
    <r>
      <rPr>
        <i val="true"/>
        <sz val="9"/>
        <color rgb="FF808080"/>
        <rFont val="Noto Sans CJK SC"/>
        <family val="2"/>
      </rPr>
      <t xml:space="preserve">코스트를 모아뒀을 때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이 값이 코스트를 아낄 이유를 만듭니다</t>
    </r>
  </si>
  <si>
    <t xml:space="preserve">이 시트의 목적</t>
  </si>
  <si>
    <r>
      <rPr>
        <i val="true"/>
        <sz val="9"/>
        <color rgb="FF808080"/>
        <rFont val="Noto Sans CJK SC"/>
        <family val="2"/>
      </rPr>
      <t xml:space="preserve">결정론적 순환이므로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특정 카드를 손에 넣기까지 필요한 비용을 정확히 계산할 수 있습니다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</si>
  <si>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비용은 두 가지입니다</t>
    </r>
    <r>
      <rPr>
        <i val="true"/>
        <sz val="9"/>
        <color rgb="FF808080"/>
        <rFont val="Arial"/>
        <family val="0"/>
        <charset val="1"/>
      </rPr>
      <t xml:space="preserve">. ① </t>
    </r>
    <r>
      <rPr>
        <i val="true"/>
        <sz val="9"/>
        <color rgb="FF808080"/>
        <rFont val="Noto Sans CJK SC"/>
        <family val="2"/>
      </rPr>
      <t xml:space="preserve">앞 카드들의 코스트 합 ② 앞 카드들의 행동 잠금 시간 합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</si>
  <si>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코스트가 비어 있으면 ①이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코스트를 모아뒀으면 ②가 병목이 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실제 대기 시간은 둘 중 큰 쪽입니다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</si>
  <si>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예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차단 카드가 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</rPr>
      <t xml:space="preserve">번 슬롯이면 앞 </t>
    </r>
    <r>
      <rPr>
        <i val="true"/>
        <sz val="9"/>
        <color rgb="FF808080"/>
        <rFont val="Arial"/>
        <family val="0"/>
        <charset val="1"/>
      </rPr>
      <t xml:space="preserve">2</t>
    </r>
    <r>
      <rPr>
        <i val="true"/>
        <sz val="9"/>
        <color rgb="FF808080"/>
        <rFont val="Noto Sans CJK SC"/>
        <family val="2"/>
      </rPr>
      <t xml:space="preserve">장을 써야 손에 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코스트 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Noto Sans CJK SC"/>
        <family val="2"/>
      </rPr>
      <t xml:space="preserve">이면 </t>
    </r>
    <r>
      <rPr>
        <i val="true"/>
        <sz val="9"/>
        <color rgb="FF808080"/>
        <rFont val="Arial"/>
        <family val="0"/>
        <charset val="1"/>
      </rPr>
      <t xml:space="preserve">8.75</t>
    </r>
    <r>
      <rPr>
        <i val="true"/>
        <sz val="9"/>
        <color rgb="FF808080"/>
        <rFont val="Noto Sans CJK SC"/>
        <family val="2"/>
      </rPr>
      <t xml:space="preserve">초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코스트가 꽉 찼으면 </t>
    </r>
    <r>
      <rPr>
        <i val="true"/>
        <sz val="9"/>
        <color rgb="FF808080"/>
        <rFont val="Arial"/>
        <family val="0"/>
        <charset val="1"/>
      </rPr>
      <t xml:space="preserve">0.8</t>
    </r>
    <r>
      <rPr>
        <i val="true"/>
        <sz val="9"/>
        <color rgb="FF808080"/>
        <rFont val="Noto Sans CJK SC"/>
        <family val="2"/>
      </rPr>
      <t xml:space="preserve">초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</si>
  <si>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이 폭이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코스트를 미리 모아둘 이유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를 만듭니다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아껴둔 코스트가 위기 대응 속도로 환산됩니다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</si>
  <si>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앞쪽에 캐스팅 긴 카드를 몰아두면 코스트가 넘쳐도 못 끌어옵니다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덱 순서 자체가 설계 결정입니다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</si>
  <si>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적 스펙</t>
  </si>
  <si>
    <r>
      <rPr>
        <i val="true"/>
        <sz val="9"/>
        <color rgb="FF808080"/>
        <rFont val="Arial"/>
        <family val="0"/>
        <charset val="1"/>
      </rPr>
      <t xml:space="preserve">F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방어감소율</t>
    </r>
    <r>
      <rPr>
        <i val="true"/>
        <sz val="9"/>
        <color rgb="FF808080"/>
        <rFont val="Arial"/>
        <family val="0"/>
        <charset val="1"/>
      </rPr>
      <t xml:space="preserve">), I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예상 처치 시간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자동 계산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</si>
  <si>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담당 색상</t>
  </si>
  <si>
    <t xml:space="preserve">방어감소율</t>
  </si>
  <si>
    <t xml:space="preserve">차단 가능</t>
  </si>
  <si>
    <r>
      <rPr>
        <b val="true"/>
        <sz val="10"/>
        <color rgb="FFFFFFFF"/>
        <rFont val="Noto Sans CJK SC"/>
        <family val="2"/>
      </rPr>
      <t xml:space="preserve">예상 처치 시간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</si>
  <si>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교육 의도</t>
  </si>
  <si>
    <r>
      <rPr>
        <sz val="10"/>
        <color rgb="FF0000FF"/>
        <rFont val="Noto Sans CJK SC"/>
        <family val="2"/>
      </rPr>
      <t xml:space="preserve">잡몹 </t>
    </r>
    <r>
      <rPr>
        <sz val="10"/>
        <color rgb="FF0000FF"/>
        <rFont val="Arial"/>
        <family val="0"/>
        <charset val="1"/>
      </rPr>
      <t xml:space="preserve">A</t>
    </r>
  </si>
  <si>
    <t xml:space="preserve">초록</t>
  </si>
  <si>
    <t xml:space="preserve">—</t>
  </si>
  <si>
    <t xml:space="preserve">대응 불필요한 공격을 먼저 보여줌</t>
  </si>
  <si>
    <r>
      <rPr>
        <sz val="10"/>
        <color rgb="FF0000FF"/>
        <rFont val="Noto Sans CJK SC"/>
        <family val="2"/>
      </rPr>
      <t xml:space="preserve">잡몹 </t>
    </r>
    <r>
      <rPr>
        <sz val="10"/>
        <color rgb="FF0000FF"/>
        <rFont val="Arial"/>
        <family val="0"/>
        <charset val="1"/>
      </rPr>
      <t xml:space="preserve">B</t>
    </r>
  </si>
  <si>
    <t xml:space="preserve">주황</t>
  </si>
  <si>
    <t xml:space="preserve">가능</t>
  </si>
  <si>
    <t xml:space="preserve">차단 카드의 존재와 사용 타이밍</t>
  </si>
  <si>
    <r>
      <rPr>
        <sz val="10"/>
        <color rgb="FF0000FF"/>
        <rFont val="Noto Sans CJK SC"/>
        <family val="2"/>
      </rPr>
      <t xml:space="preserve">잡몹 </t>
    </r>
    <r>
      <rPr>
        <sz val="10"/>
        <color rgb="FF0000FF"/>
        <rFont val="Arial"/>
        <family val="0"/>
        <charset val="1"/>
      </rPr>
      <t xml:space="preserve">C</t>
    </r>
  </si>
  <si>
    <t xml:space="preserve">빨강</t>
  </si>
  <si>
    <t xml:space="preserve">불가</t>
  </si>
  <si>
    <t xml:space="preserve">방어도 카드의 존재</t>
  </si>
  <si>
    <r>
      <rPr>
        <b val="true"/>
        <sz val="10"/>
        <color rgb="FFC00000"/>
        <rFont val="Arial"/>
        <family val="0"/>
        <charset val="1"/>
      </rPr>
      <t xml:space="preserve">A·B·C</t>
    </r>
    <r>
      <rPr>
        <b val="true"/>
        <sz val="10"/>
        <color rgb="FFC00000"/>
        <rFont val="Noto Sans CJK SC"/>
        <family val="2"/>
      </rPr>
      <t xml:space="preserve">는 프로토타입 </t>
    </r>
    <r>
      <rPr>
        <b val="true"/>
        <sz val="10"/>
        <color rgb="FFC00000"/>
        <rFont val="Arial"/>
        <family val="0"/>
        <charset val="1"/>
      </rPr>
      <t xml:space="preserve">2</t>
    </r>
    <r>
      <rPr>
        <b val="true"/>
        <sz val="10"/>
        <color rgb="FFC00000"/>
        <rFont val="Noto Sans CJK SC"/>
        <family val="2"/>
      </rPr>
      <t xml:space="preserve">단계 구현값입니다</t>
    </r>
    <r>
      <rPr>
        <b val="true"/>
        <sz val="10"/>
        <color rgb="FFC00000"/>
        <rFont val="Arial"/>
        <family val="0"/>
        <charset val="1"/>
      </rPr>
      <t xml:space="preserve">. 4</t>
    </r>
    <r>
      <rPr>
        <b val="true"/>
        <sz val="10"/>
        <color rgb="FFC00000"/>
        <rFont val="Noto Sans CJK SC"/>
        <family val="2"/>
      </rPr>
      <t xml:space="preserve">열은 공격력이 아니라 피해량입니다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</si>
  <si>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담당 색상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초록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대응 불필요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Noto Sans CJK SC"/>
        <family val="2"/>
      </rPr>
      <t xml:space="preserve">주황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차단 대상 </t>
    </r>
    <r>
      <rPr>
        <i val="true"/>
        <sz val="9"/>
        <color rgb="FF808080"/>
        <rFont val="Arial"/>
        <family val="0"/>
        <charset val="1"/>
      </rPr>
      <t xml:space="preserve">/ </t>
    </r>
    <r>
      <rPr>
        <i val="true"/>
        <sz val="9"/>
        <color rgb="FF808080"/>
        <rFont val="Noto Sans CJK SC"/>
        <family val="2"/>
      </rPr>
      <t xml:space="preserve">빨강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방어도 대상</t>
    </r>
  </si>
  <si>
    <r>
      <rPr>
        <b val="true"/>
        <sz val="10"/>
        <color rgb="FFC00000"/>
        <rFont val="Noto Sans CJK SC"/>
        <family val="2"/>
      </rPr>
      <t xml:space="preserve">적의 캐스팅 시간을 덱시뮬의 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대응 카드 최악 대기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와 비교하세요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대기가 더 길면 구조적으로 대응 불가입니다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</si>
  <si>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런 전체 </t>
    </r>
    <r>
      <rPr>
        <b val="true"/>
        <sz val="13"/>
        <rFont val="Arial"/>
        <family val="0"/>
        <charset val="1"/>
      </rPr>
      <t xml:space="preserve">HP </t>
    </r>
    <r>
      <rPr>
        <b val="true"/>
        <sz val="13"/>
        <rFont val="Noto Sans CJK SC"/>
        <family val="2"/>
      </rPr>
      <t xml:space="preserve">예산</t>
    </r>
  </si>
  <si>
    <r>
      <rPr>
        <i val="true"/>
        <sz val="9"/>
        <color rgb="FF808080"/>
        <rFont val="Arial"/>
        <family val="0"/>
        <charset val="1"/>
      </rPr>
      <t xml:space="preserve">HP</t>
    </r>
    <r>
      <rPr>
        <i val="true"/>
        <sz val="9"/>
        <color rgb="FF808080"/>
        <rFont val="Noto Sans CJK SC"/>
        <family val="2"/>
      </rPr>
      <t xml:space="preserve">는 전투 사이에 이월됩니다</t>
    </r>
    <r>
      <rPr>
        <i val="true"/>
        <sz val="9"/>
        <color rgb="FF808080"/>
        <rFont val="Arial"/>
        <family val="0"/>
        <charset val="1"/>
      </rPr>
      <t xml:space="preserve">. 5</t>
    </r>
    <r>
      <rPr>
        <i val="true"/>
        <sz val="9"/>
        <color rgb="FF808080"/>
        <rFont val="Noto Sans CJK SC"/>
        <family val="2"/>
      </rPr>
      <t xml:space="preserve">전투를 버틸 수 있는지 여기서 확인하세요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노란 칸에 전투별 예상 피해를 입력합니다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</si>
  <si>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전투</t>
  </si>
  <si>
    <t xml:space="preserve">구성</t>
  </si>
  <si>
    <t xml:space="preserve">완벽 대응 시 피해</t>
  </si>
  <si>
    <t xml:space="preserve">평범 대응 시 피해</t>
  </si>
  <si>
    <r>
      <rPr>
        <b val="true"/>
        <sz val="10"/>
        <color rgb="FFFFFFFF"/>
        <rFont val="Noto Sans CJK SC"/>
        <family val="2"/>
      </rPr>
      <t xml:space="preserve">누적 </t>
    </r>
    <r>
      <rPr>
        <b val="true"/>
        <sz val="10"/>
        <color rgb="FFFFFFFF"/>
        <rFont val="Arial"/>
        <family val="0"/>
        <charset val="1"/>
      </rPr>
      <t xml:space="preserve">HP (</t>
    </r>
    <r>
      <rPr>
        <b val="true"/>
        <sz val="10"/>
        <color rgb="FFFFFFFF"/>
        <rFont val="Noto Sans CJK SC"/>
        <family val="2"/>
      </rPr>
      <t xml:space="preserve">완벽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</si>
  <si>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누적 </t>
    </r>
    <r>
      <rPr>
        <b val="true"/>
        <sz val="10"/>
        <color rgb="FFFFFFFF"/>
        <rFont val="Arial"/>
        <family val="0"/>
        <charset val="1"/>
      </rPr>
      <t xml:space="preserve">HP (</t>
    </r>
    <r>
      <rPr>
        <b val="true"/>
        <sz val="10"/>
        <color rgb="FFFFFFFF"/>
        <rFont val="Noto Sans CJK SC"/>
        <family val="2"/>
      </rPr>
      <t xml:space="preserve">평범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</si>
  <si>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판정</t>
  </si>
  <si>
    <t xml:space="preserve">비고</t>
  </si>
  <si>
    <t xml:space="preserve">총 피해 — 완벽 대응</t>
  </si>
  <si>
    <t xml:space="preserve">총 피해 — 평범 대응</t>
  </si>
  <si>
    <t xml:space="preserve">포션 총 회복량</t>
  </si>
  <si>
    <r>
      <rPr>
        <i val="true"/>
        <sz val="9"/>
        <color rgb="FF808080"/>
        <rFont val="Noto Sans CJK SC"/>
        <family val="2"/>
      </rPr>
      <t xml:space="preserve">런 전체 </t>
    </r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Noto Sans CJK SC"/>
        <family val="2"/>
      </rPr>
      <t xml:space="preserve">회 </t>
    </r>
    <r>
      <rPr>
        <i val="true"/>
        <sz val="9"/>
        <color rgb="FF808080"/>
        <rFont val="Arial"/>
        <family val="0"/>
        <charset val="1"/>
      </rPr>
      <t xml:space="preserve">x </t>
    </r>
    <r>
      <rPr>
        <i val="true"/>
        <sz val="9"/>
        <color rgb="FF808080"/>
        <rFont val="Noto Sans CJK SC"/>
        <family val="2"/>
      </rPr>
      <t xml:space="preserve">최대 </t>
    </r>
    <r>
      <rPr>
        <i val="true"/>
        <sz val="9"/>
        <color rgb="FF808080"/>
        <rFont val="Arial"/>
        <family val="0"/>
        <charset val="1"/>
      </rPr>
      <t xml:space="preserve">HP 50%</t>
    </r>
  </si>
  <si>
    <t xml:space="preserve">감당 가능 총 피해</t>
  </si>
  <si>
    <r>
      <rPr>
        <i val="true"/>
        <sz val="9"/>
        <color rgb="FF808080"/>
        <rFont val="Noto Sans CJK SC"/>
        <family val="2"/>
      </rPr>
      <t xml:space="preserve">최대 </t>
    </r>
    <r>
      <rPr>
        <i val="true"/>
        <sz val="9"/>
        <color rgb="FF808080"/>
        <rFont val="Arial"/>
        <family val="0"/>
        <charset val="1"/>
      </rPr>
      <t xml:space="preserve">HP + </t>
    </r>
    <r>
      <rPr>
        <i val="true"/>
        <sz val="9"/>
        <color rgb="FF808080"/>
        <rFont val="Noto Sans CJK SC"/>
        <family val="2"/>
      </rPr>
      <t xml:space="preserve">포션 총량</t>
    </r>
  </si>
  <si>
    <t xml:space="preserve">완벽 대응 여유</t>
  </si>
  <si>
    <r>
      <rPr>
        <i val="true"/>
        <sz val="9"/>
        <color rgb="FF808080"/>
        <rFont val="Noto Sans CJK SC"/>
        <family val="2"/>
      </rPr>
      <t xml:space="preserve">클수록 쉬움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600 </t>
    </r>
    <r>
      <rPr>
        <i val="true"/>
        <sz val="9"/>
        <color rgb="FF808080"/>
        <rFont val="Noto Sans CJK SC"/>
        <family val="2"/>
      </rPr>
      <t xml:space="preserve">이상</t>
    </r>
  </si>
  <si>
    <t xml:space="preserve">평범 대응 여유</t>
  </si>
  <si>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0~200. </t>
    </r>
    <r>
      <rPr>
        <i val="true"/>
        <sz val="9"/>
        <color rgb="FF808080"/>
        <rFont val="Noto Sans CJK SC"/>
        <family val="2"/>
      </rPr>
      <t xml:space="preserve">음수면 평범한 플레이로 클리어 불가</t>
    </r>
  </si>
  <si>
    <t xml:space="preserve">대응 성공의 가치</t>
  </si>
  <si>
    <r>
      <rPr>
        <i val="true"/>
        <sz val="9"/>
        <color rgb="FF808080"/>
        <rFont val="Noto Sans CJK SC"/>
        <family val="2"/>
      </rPr>
      <t xml:space="preserve">이 값이 클수록 방어 카드가 의미 있음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목표 </t>
    </r>
    <r>
      <rPr>
        <i val="true"/>
        <sz val="9"/>
        <color rgb="FF808080"/>
        <rFont val="Arial"/>
        <family val="0"/>
        <charset val="1"/>
      </rPr>
      <t xml:space="preserve">300 </t>
    </r>
    <r>
      <rPr>
        <i val="true"/>
        <sz val="9"/>
        <color rgb="FF808080"/>
        <rFont val="Noto Sans CJK SC"/>
        <family val="2"/>
      </rPr>
      <t xml:space="preserve">이상</t>
    </r>
  </si>
  <si>
    <t xml:space="preserve">설계 목표</t>
  </si>
  <si>
    <r>
      <rPr>
        <i val="true"/>
        <sz val="9"/>
        <color rgb="FF808080"/>
        <rFont val="Noto Sans CJK SC"/>
        <family val="2"/>
      </rPr>
      <t xml:space="preserve">완벽하게 대응하면 포션을 거의 안 쓰고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평범하면 다 쓰고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못하면 죽는다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</si>
  <si>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대응 성공의 가치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가 작으면 방어 카드를 넣을 이유가 없습니다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빨강 공격 피해를 키우세요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</si>
  <si>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평범 대응 여유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Noto Sans CJK SC"/>
        <family val="2"/>
      </rPr>
      <t xml:space="preserve">가 크게 음수면 </t>
    </r>
    <r>
      <rPr>
        <i val="true"/>
        <sz val="9"/>
        <color rgb="FF808080"/>
        <rFont val="Arial"/>
        <family val="0"/>
        <charset val="1"/>
      </rPr>
      <t xml:space="preserve">2~3</t>
    </r>
    <r>
      <rPr>
        <i val="true"/>
        <sz val="9"/>
        <color rgb="FF808080"/>
        <rFont val="Noto Sans CJK SC"/>
        <family val="2"/>
      </rPr>
      <t xml:space="preserve">전투에서 이미 클리어가 불가능해집니다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적 피해를 낮추세요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</si>
  <si>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인카운터 구성 및 실측</t>
  </si>
  <si>
    <r>
      <rPr>
        <i val="true"/>
        <sz val="9"/>
        <color rgb="FF808080"/>
        <rFont val="Arial"/>
        <family val="0"/>
        <charset val="1"/>
      </rPr>
      <t xml:space="preserve">D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실측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은 </t>
    </r>
    <r>
      <rPr>
        <i val="true"/>
        <sz val="9"/>
        <color rgb="FF808080"/>
        <rFont val="Arial"/>
        <family val="0"/>
        <charset val="1"/>
      </rPr>
      <t xml:space="preserve">18</t>
    </r>
    <r>
      <rPr>
        <i val="true"/>
        <sz val="9"/>
        <color rgb="FF808080"/>
        <rFont val="Noto Sans CJK SC"/>
        <family val="2"/>
      </rPr>
      <t xml:space="preserve">일차에 스톱워치로 측정해 기입</t>
    </r>
    <r>
      <rPr>
        <i val="true"/>
        <sz val="9"/>
        <color rgb="FF808080"/>
        <rFont val="Arial"/>
        <family val="0"/>
        <charset val="1"/>
      </rPr>
      <t xml:space="preserve">. E·F</t>
    </r>
    <r>
      <rPr>
        <i val="true"/>
        <sz val="9"/>
        <color rgb="FF808080"/>
        <rFont val="Noto Sans CJK SC"/>
        <family val="2"/>
      </rPr>
      <t xml:space="preserve">열은 자동 계산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</si>
  <si>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번호</t>
  </si>
  <si>
    <r>
      <rPr>
        <b val="true"/>
        <sz val="10"/>
        <color rgb="FFFFFFFF"/>
        <rFont val="Noto Sans CJK SC"/>
        <family val="2"/>
      </rPr>
      <t xml:space="preserve">목표 시간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</si>
  <si>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실측 시간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</si>
  <si>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</si>
  <si>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오차율</t>
  </si>
  <si>
    <t xml:space="preserve">신규 요소</t>
  </si>
  <si>
    <t xml:space="preserve">수정 내용과 근거</t>
  </si>
  <si>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예시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Noto Sans CJK SC"/>
        <family val="2"/>
      </rPr>
      <t xml:space="preserve">잡몹</t>
    </r>
    <r>
      <rPr>
        <i val="true"/>
        <sz val="9"/>
        <color rgb="FF808080"/>
        <rFont val="Arial"/>
        <family val="0"/>
        <charset val="1"/>
      </rPr>
      <t xml:space="preserve">A ×2</t>
    </r>
  </si>
  <si>
    <t xml:space="preserve">기본 루프</t>
  </si>
  <si>
    <r>
      <rPr>
        <i val="true"/>
        <sz val="9"/>
        <color rgb="FF808080"/>
        <rFont val="Noto Sans CJK SC"/>
        <family val="2"/>
      </rPr>
      <t xml:space="preserve">목표 대비 </t>
    </r>
    <r>
      <rPr>
        <i val="true"/>
        <sz val="9"/>
        <color rgb="FF808080"/>
        <rFont val="Arial"/>
        <family val="0"/>
        <charset val="1"/>
      </rPr>
      <t xml:space="preserve">45% </t>
    </r>
    <r>
      <rPr>
        <i val="true"/>
        <sz val="9"/>
        <color rgb="FF808080"/>
        <rFont val="Noto Sans CJK SC"/>
        <family val="2"/>
      </rPr>
      <t xml:space="preserve">초과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적 </t>
    </r>
    <r>
      <rPr>
        <i val="true"/>
        <sz val="9"/>
        <color rgb="FF808080"/>
        <rFont val="Arial"/>
        <family val="0"/>
        <charset val="1"/>
      </rPr>
      <t xml:space="preserve">HP 300→220 </t>
    </r>
    <r>
      <rPr>
        <i val="true"/>
        <sz val="9"/>
        <color rgb="FF808080"/>
        <rFont val="Noto Sans CJK SC"/>
        <family val="2"/>
      </rPr>
      <t xml:space="preserve">하향 </t>
    </r>
    <r>
      <rPr>
        <i val="true"/>
        <sz val="9"/>
        <color rgb="FF808080"/>
        <rFont val="Arial"/>
        <family val="0"/>
        <charset val="1"/>
      </rPr>
      <t xml:space="preserve">(18</t>
    </r>
    <r>
      <rPr>
        <i val="true"/>
        <sz val="9"/>
        <color rgb="FF808080"/>
        <rFont val="Noto Sans CJK SC"/>
        <family val="2"/>
      </rPr>
      <t xml:space="preserve">일차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</si>
  <si>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총 목표 전투 시간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</si>
  <si>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목표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전투 합계 </t>
    </r>
    <r>
      <rPr>
        <i val="true"/>
        <sz val="9"/>
        <color rgb="FF808080"/>
        <rFont val="Arial"/>
        <family val="0"/>
        <charset val="1"/>
      </rPr>
      <t xml:space="preserve">6~7</t>
    </r>
    <r>
      <rPr>
        <i val="true"/>
        <sz val="9"/>
        <color rgb="FF808080"/>
        <rFont val="Noto Sans CJK SC"/>
        <family val="2"/>
      </rPr>
      <t xml:space="preserve">분 </t>
    </r>
    <r>
      <rPr>
        <i val="true"/>
        <sz val="9"/>
        <color rgb="FF808080"/>
        <rFont val="Arial"/>
        <family val="0"/>
        <charset val="1"/>
      </rPr>
      <t xml:space="preserve">(360~420</t>
    </r>
    <r>
      <rPr>
        <i val="true"/>
        <sz val="9"/>
        <color rgb="FF808080"/>
        <rFont val="Noto Sans CJK SC"/>
        <family val="2"/>
      </rPr>
      <t xml:space="preserve">초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</si>
  <si>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총 실측 전투 시간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</si>
</sst>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0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546A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2" t="s">
        <v>7</v>
      </c>
      <c r="B7" s="6" t="s">
        <v>8</v>
      </c>
    </row>
    <row r="8" customFormat="false" ht="15" hidden="false" customHeight="false" outlineLevel="0" collapsed="false">
      <c r="A8" s="7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7" t="s">
        <v>10</v>
      </c>
      <c r="B10" s="6" t="s">
        <v>11</v>
      </c>
    </row>
    <row r="11" customFormat="false" ht="15" hidden="false" customHeight="false" outlineLevel="0" collapsed="false">
      <c r="A11" s="7" t="s">
        <v>12</v>
      </c>
      <c r="B11" s="6" t="s">
        <v>13</v>
      </c>
    </row>
    <row r="12" customFormat="false" ht="29.85" hidden="false" customHeight="false" outlineLevel="0" collapsed="false">
      <c r="A12" s="7" t="s">
        <v>14</v>
      </c>
      <c r="B12" s="6" t="s">
        <v>15</v>
      </c>
    </row>
    <row r="13" customFormat="false" ht="15" hidden="false" customHeight="false" outlineLevel="0" collapsed="false">
      <c r="A13" s="7" t="s">
        <v>16</v>
      </c>
      <c r="B13" s="6" t="s">
        <v>17</v>
      </c>
    </row>
    <row r="14" customFormat="false" ht="15" hidden="false" customHeight="false" outlineLevel="0" collapsed="false">
      <c r="A14" s="7" t="s">
        <v>18</v>
      </c>
      <c r="B14" s="6" t="s">
        <v>19</v>
      </c>
    </row>
    <row r="17" customFormat="false" ht="15" hidden="false" customHeight="false" outlineLevel="0" collapsed="false">
      <c r="A17" s="3" t="s">
        <v>20</v>
      </c>
    </row>
    <row r="18" customFormat="false" ht="31.5" hidden="false" customHeight="true" outlineLevel="0" collapsed="false">
      <c r="A18" s="8" t="s">
        <v>21</v>
      </c>
      <c r="B18" s="8" t="s">
        <v>22</v>
      </c>
      <c r="C18" s="8" t="s">
        <v>23</v>
      </c>
      <c r="D18" s="8" t="s">
        <v>24</v>
      </c>
    </row>
    <row r="19" customFormat="false" ht="15" hidden="false" customHeight="false" outlineLevel="0" collapsed="false">
      <c r="A19" s="9" t="s">
        <v>25</v>
      </c>
      <c r="B19" s="10" t="s">
        <v>26</v>
      </c>
      <c r="C19" s="11" t="n">
        <v>1.8</v>
      </c>
      <c r="D19" s="12" t="s">
        <v>27</v>
      </c>
    </row>
    <row r="20" customFormat="false" ht="15" hidden="false" customHeight="false" outlineLevel="0" collapsed="false">
      <c r="A20" s="9" t="s">
        <v>28</v>
      </c>
      <c r="B20" s="10" t="s">
        <v>29</v>
      </c>
      <c r="C20" s="11" t="n">
        <v>100</v>
      </c>
      <c r="D20" s="12" t="s">
        <v>27</v>
      </c>
    </row>
    <row r="21" customFormat="false" ht="15" hidden="false" customHeight="false" outlineLevel="0" collapsed="false">
      <c r="A21" s="9" t="s">
        <v>30</v>
      </c>
      <c r="B21" s="10" t="s">
        <v>31</v>
      </c>
      <c r="C21" s="11" t="n">
        <v>20</v>
      </c>
      <c r="D21" s="12" t="s">
        <v>32</v>
      </c>
    </row>
    <row r="22" customFormat="false" ht="15" hidden="false" customHeight="false" outlineLevel="0" collapsed="false">
      <c r="A22" s="9" t="s">
        <v>33</v>
      </c>
      <c r="B22" s="10" t="s">
        <v>34</v>
      </c>
      <c r="C22" s="13" t="n">
        <f aca="false">C21/(C21+C20)</f>
        <v>0.166666666666667</v>
      </c>
      <c r="D22" s="10" t="s">
        <v>35</v>
      </c>
    </row>
    <row r="23" customFormat="false" ht="15" hidden="false" customHeight="false" outlineLevel="0" collapsed="false">
      <c r="A23" s="9" t="s">
        <v>36</v>
      </c>
      <c r="B23" s="10" t="s">
        <v>37</v>
      </c>
      <c r="C23" s="11" t="n">
        <v>0.8</v>
      </c>
      <c r="D23" s="12" t="s">
        <v>27</v>
      </c>
    </row>
    <row r="24" customFormat="false" ht="15" hidden="false" customHeight="false" outlineLevel="0" collapsed="false">
      <c r="A24" s="9" t="s">
        <v>38</v>
      </c>
      <c r="B24" s="10" t="s">
        <v>39</v>
      </c>
      <c r="C24" s="11" t="n">
        <v>10</v>
      </c>
      <c r="D24" s="12" t="s">
        <v>27</v>
      </c>
    </row>
    <row r="25" customFormat="false" ht="15" hidden="false" customHeight="false" outlineLevel="0" collapsed="false">
      <c r="A25" s="9" t="s">
        <v>40</v>
      </c>
      <c r="B25" s="12"/>
      <c r="C25" s="11" t="n">
        <v>3</v>
      </c>
      <c r="D25" s="12" t="s">
        <v>27</v>
      </c>
    </row>
    <row r="26" customFormat="false" ht="29.85" hidden="false" customHeight="false" outlineLevel="0" collapsed="false">
      <c r="A26" s="9" t="s">
        <v>41</v>
      </c>
      <c r="B26" s="10" t="s">
        <v>42</v>
      </c>
      <c r="C26" s="11" t="n">
        <v>0.4</v>
      </c>
      <c r="D26" s="10" t="s">
        <v>43</v>
      </c>
    </row>
    <row r="27" customFormat="false" ht="15" hidden="false" customHeight="false" outlineLevel="0" collapsed="false">
      <c r="A27" s="9" t="s">
        <v>44</v>
      </c>
      <c r="B27" s="10" t="s">
        <v>45</v>
      </c>
      <c r="C27" s="11" t="n">
        <v>45</v>
      </c>
      <c r="D27" s="12" t="s">
        <v>27</v>
      </c>
    </row>
    <row r="28" customFormat="false" ht="15" hidden="false" customHeight="false" outlineLevel="0" collapsed="false">
      <c r="A28" s="9" t="s">
        <v>46</v>
      </c>
      <c r="B28" s="10" t="s">
        <v>45</v>
      </c>
      <c r="C28" s="11" t="n">
        <v>180</v>
      </c>
      <c r="D28" s="12" t="s">
        <v>27</v>
      </c>
    </row>
    <row r="29" customFormat="false" ht="15" hidden="false" customHeight="false" outlineLevel="0" collapsed="false">
      <c r="A29" s="9" t="s">
        <v>47</v>
      </c>
      <c r="B29" s="10" t="s">
        <v>48</v>
      </c>
      <c r="C29" s="11" t="n">
        <v>3</v>
      </c>
      <c r="D29" s="10" t="s">
        <v>49</v>
      </c>
    </row>
    <row r="30" customFormat="false" ht="15" hidden="false" customHeight="false" outlineLevel="0" collapsed="false">
      <c r="A30" s="9" t="s">
        <v>50</v>
      </c>
      <c r="B30" s="10" t="s">
        <v>51</v>
      </c>
      <c r="C30" s="11" t="n">
        <v>2.25</v>
      </c>
      <c r="D30" s="10" t="s">
        <v>52</v>
      </c>
    </row>
    <row r="31" customFormat="false" ht="15" hidden="false" customHeight="false" outlineLevel="0" collapsed="false">
      <c r="A31" s="14" t="s">
        <v>53</v>
      </c>
    </row>
    <row r="32" customFormat="false" ht="15" hidden="false" customHeight="false" outlineLevel="0" collapsed="false">
      <c r="A32" s="1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56"/>
  </cols>
  <sheetData>
    <row r="1" customFormat="false" ht="16.15" hidden="false" customHeight="false" outlineLevel="0" collapsed="false">
      <c r="A1" s="15" t="s">
        <v>55</v>
      </c>
    </row>
    <row r="2" customFormat="false" ht="15" hidden="false" customHeight="false" outlineLevel="0" collapsed="false">
      <c r="A2" s="2" t="s">
        <v>56</v>
      </c>
    </row>
    <row r="4" customFormat="false" ht="31.5" hidden="false" customHeight="true" outlineLevel="0" collapsed="false">
      <c r="A4" s="8" t="s">
        <v>57</v>
      </c>
      <c r="B4" s="16" t="s">
        <v>58</v>
      </c>
      <c r="C4" s="8" t="s">
        <v>59</v>
      </c>
      <c r="D4" s="8" t="s">
        <v>60</v>
      </c>
      <c r="E4" s="8" t="s">
        <v>61</v>
      </c>
      <c r="F4" s="8" t="s">
        <v>62</v>
      </c>
    </row>
    <row r="5" customFormat="false" ht="15" hidden="false" customHeight="false" outlineLevel="0" collapsed="false">
      <c r="A5" s="17" t="s">
        <v>63</v>
      </c>
      <c r="B5" s="17" t="n">
        <v>500</v>
      </c>
      <c r="C5" s="17" t="n">
        <v>20</v>
      </c>
      <c r="D5" s="18" t="n">
        <v>0.15</v>
      </c>
      <c r="E5" s="19" t="n">
        <f aca="false">IF(D5="","",1+D5*(범례!$C$19-1))</f>
        <v>1.12</v>
      </c>
      <c r="F5" s="20" t="s">
        <v>64</v>
      </c>
    </row>
    <row r="6" customFormat="false" ht="15" hidden="false" customHeight="false" outlineLevel="0" collapsed="false">
      <c r="A6" s="17"/>
      <c r="B6" s="17"/>
      <c r="C6" s="17"/>
      <c r="D6" s="18"/>
      <c r="E6" s="19" t="str">
        <f aca="false">IF(D6="","",1+D6*(범례!$C$19-1))</f>
        <v/>
      </c>
      <c r="F6" s="20"/>
    </row>
    <row r="7" customFormat="false" ht="15" hidden="false" customHeight="false" outlineLevel="0" collapsed="false">
      <c r="A7" s="17"/>
      <c r="B7" s="17"/>
      <c r="C7" s="17"/>
      <c r="D7" s="18"/>
      <c r="E7" s="19" t="str">
        <f aca="false">IF(D7="","",1+D7*(범례!$C$19-1))</f>
        <v/>
      </c>
      <c r="F7" s="20"/>
    </row>
    <row r="9" customFormat="false" ht="15" hidden="false" customHeight="false" outlineLevel="0" collapsed="false">
      <c r="A9" s="21" t="s">
        <v>65</v>
      </c>
    </row>
    <row r="10" customFormat="false" ht="15" hidden="false" customHeight="false" outlineLevel="0" collapsed="false">
      <c r="A10" s="1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3" min="10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42"/>
    <col collapsed="false" customWidth="true" hidden="false" outlineLevel="0" max="19" min="18" style="0" width="13"/>
  </cols>
  <sheetData>
    <row r="1" customFormat="false" ht="20.1" hidden="false" customHeight="false" outlineLevel="0" collapsed="false">
      <c r="A1" s="15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16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8" t="s">
        <v>74</v>
      </c>
      <c r="G4" s="8" t="s">
        <v>75</v>
      </c>
      <c r="H4" s="8" t="s">
        <v>76</v>
      </c>
      <c r="I4" s="8" t="s">
        <v>77</v>
      </c>
      <c r="J4" s="8" t="s">
        <v>78</v>
      </c>
      <c r="K4" s="8" t="s">
        <v>79</v>
      </c>
      <c r="L4" s="8" t="s">
        <v>80</v>
      </c>
      <c r="M4" s="8" t="s">
        <v>81</v>
      </c>
      <c r="N4" s="8" t="s">
        <v>82</v>
      </c>
      <c r="O4" s="8" t="s">
        <v>83</v>
      </c>
      <c r="P4" s="8" t="s">
        <v>84</v>
      </c>
      <c r="Q4" s="8" t="s">
        <v>85</v>
      </c>
      <c r="R4" s="8" t="s">
        <v>86</v>
      </c>
      <c r="S4" s="8" t="s">
        <v>87</v>
      </c>
    </row>
    <row r="5" customFormat="false" ht="15" hidden="false" customHeight="false" outlineLevel="0" collapsed="false">
      <c r="A5" s="11" t="s">
        <v>88</v>
      </c>
      <c r="B5" s="17" t="s">
        <v>89</v>
      </c>
      <c r="C5" s="17" t="s">
        <v>90</v>
      </c>
      <c r="D5" s="17" t="n">
        <v>3</v>
      </c>
      <c r="E5" s="17" t="n">
        <v>0.3</v>
      </c>
      <c r="F5" s="22" t="n">
        <f aca="false">IF(E5="","",MAX(E5,범례!$C$26))</f>
        <v>0.4</v>
      </c>
      <c r="G5" s="17" t="n">
        <v>100</v>
      </c>
      <c r="H5" s="17" t="n">
        <v>1</v>
      </c>
      <c r="I5" s="19" t="n">
        <f aca="false">IF(G5="","",G5*H5)</f>
        <v>100</v>
      </c>
      <c r="J5" s="23" t="n">
        <f aca="false">IF(I5="","",I5*(1-범례!$C$22)*직업!$E$5)</f>
        <v>93.3333333333334</v>
      </c>
      <c r="K5" s="23" t="n">
        <f aca="false">IF(J5="","",J5*IF(ISNUMBER(SEARCH("광역",$C5)),범례!$C$30,1))</f>
        <v>93.3333333333334</v>
      </c>
      <c r="L5" s="22" t="n">
        <f aca="false">IF(OR(J5="",D5="",D5=0),"",J5/D5)</f>
        <v>31.1111111111111</v>
      </c>
      <c r="M5" s="22" t="n">
        <f aca="false">IF(OR(K5="",D5="",D5=0),"",K5/D5)</f>
        <v>31.1111111111111</v>
      </c>
      <c r="N5" s="22" t="n">
        <f aca="false">IF(OR(K5="",F5="",F5=0),"",K5/F5)</f>
        <v>233.333333333333</v>
      </c>
      <c r="O5" s="17"/>
      <c r="P5" s="17"/>
      <c r="Q5" s="20" t="s">
        <v>91</v>
      </c>
      <c r="R5" s="22" t="n">
        <f aca="false">IF(AND(LEFT($C5,1)="딜",ISNUMBER(M5)),M5,"")</f>
        <v>31.1111111111111</v>
      </c>
      <c r="S5" s="22" t="n">
        <f aca="false">IF(AND(LEFT($C5,1)="딜",ISNUMBER(N5)),N5,"")</f>
        <v>233.333333333333</v>
      </c>
    </row>
    <row r="6" customFormat="false" ht="15" hidden="false" customHeight="false" outlineLevel="0" collapsed="false">
      <c r="A6" s="11" t="s">
        <v>92</v>
      </c>
      <c r="B6" s="17" t="s">
        <v>93</v>
      </c>
      <c r="C6" s="17" t="s">
        <v>90</v>
      </c>
      <c r="D6" s="17" t="n">
        <v>4</v>
      </c>
      <c r="E6" s="17" t="n">
        <v>0.3</v>
      </c>
      <c r="F6" s="22" t="n">
        <f aca="false">IF(E6="","",MAX(E6,범례!$C$26))</f>
        <v>0.4</v>
      </c>
      <c r="G6" s="17" t="n">
        <v>120</v>
      </c>
      <c r="H6" s="17" t="n">
        <v>1</v>
      </c>
      <c r="I6" s="19" t="n">
        <f aca="false">IF(G6="","",G6*H6)</f>
        <v>120</v>
      </c>
      <c r="J6" s="23" t="n">
        <f aca="false">IF(I6="","",I6*(1-범례!$C$22)*직업!$E$5)</f>
        <v>112</v>
      </c>
      <c r="K6" s="23" t="n">
        <f aca="false">IF(J6="","",J6*IF(ISNUMBER(SEARCH("광역",$C6)),범례!$C$30,1))</f>
        <v>112</v>
      </c>
      <c r="L6" s="22" t="n">
        <f aca="false">IF(OR(J6="",D6="",D6=0),"",J6/D6)</f>
        <v>28</v>
      </c>
      <c r="M6" s="22" t="n">
        <f aca="false">IF(OR(K6="",D6="",D6=0),"",K6/D6)</f>
        <v>28</v>
      </c>
      <c r="N6" s="22" t="n">
        <f aca="false">IF(OR(K6="",F6="",F6=0),"",K6/F6)</f>
        <v>280</v>
      </c>
      <c r="O6" s="17"/>
      <c r="P6" s="17"/>
      <c r="Q6" s="24" t="s">
        <v>94</v>
      </c>
      <c r="R6" s="22" t="n">
        <f aca="false">IF(AND(LEFT($C6,1)="딜",ISNUMBER(M6)),M6,"")</f>
        <v>28</v>
      </c>
      <c r="S6" s="22" t="n">
        <f aca="false">IF(AND(LEFT($C6,1)="딜",ISNUMBER(N6)),N6,"")</f>
        <v>280</v>
      </c>
    </row>
    <row r="7" customFormat="false" ht="15" hidden="false" customHeight="false" outlineLevel="0" collapsed="false">
      <c r="A7" s="11" t="s">
        <v>95</v>
      </c>
      <c r="B7" s="17" t="s">
        <v>96</v>
      </c>
      <c r="C7" s="17" t="s">
        <v>97</v>
      </c>
      <c r="D7" s="17" t="n">
        <v>3</v>
      </c>
      <c r="E7" s="17" t="n">
        <v>0.2</v>
      </c>
      <c r="F7" s="22" t="n">
        <f aca="false">IF(E7="","",MAX(E7,범례!$C$26))</f>
        <v>0.4</v>
      </c>
      <c r="G7" s="17" t="n">
        <v>0</v>
      </c>
      <c r="H7" s="17" t="n">
        <v>1</v>
      </c>
      <c r="I7" s="19" t="n">
        <f aca="false">IF(G7="","",G7*H7)</f>
        <v>0</v>
      </c>
      <c r="J7" s="23" t="n">
        <f aca="false">IF(I7="","",I7*(1-범례!$C$22)*직업!$E$5)</f>
        <v>0</v>
      </c>
      <c r="K7" s="23" t="n">
        <f aca="false">IF(J7="","",J7*IF(ISNUMBER(SEARCH("광역",$C7)),범례!$C$30,1))</f>
        <v>0</v>
      </c>
      <c r="L7" s="22" t="n">
        <f aca="false">IF(OR(J7="",D7="",D7=0),"",J7/D7)</f>
        <v>0</v>
      </c>
      <c r="M7" s="22" t="n">
        <f aca="false">IF(OR(K7="",D7="",D7=0),"",K7/D7)</f>
        <v>0</v>
      </c>
      <c r="N7" s="22" t="n">
        <f aca="false">IF(OR(K7="",F7="",F7=0),"",K7/F7)</f>
        <v>0</v>
      </c>
      <c r="O7" s="17" t="n">
        <v>120</v>
      </c>
      <c r="P7" s="17"/>
      <c r="Q7" s="24" t="s">
        <v>98</v>
      </c>
      <c r="R7" s="22" t="str">
        <f aca="false">IF(AND(LEFT($C7,1)="딜",ISNUMBER(M7)),M7,"")</f>
        <v/>
      </c>
      <c r="S7" s="22" t="str">
        <f aca="false">IF(AND(LEFT($C7,1)="딜",ISNUMBER(N7)),N7,"")</f>
        <v/>
      </c>
    </row>
    <row r="8" customFormat="false" ht="15" hidden="false" customHeight="false" outlineLevel="0" collapsed="false">
      <c r="A8" s="11" t="s">
        <v>99</v>
      </c>
      <c r="B8" s="17" t="s">
        <v>100</v>
      </c>
      <c r="C8" s="17" t="s">
        <v>101</v>
      </c>
      <c r="D8" s="17" t="n">
        <v>4</v>
      </c>
      <c r="E8" s="17" t="n">
        <v>0.2</v>
      </c>
      <c r="F8" s="22" t="n">
        <f aca="false">IF(E8="","",MAX(E8,범례!$C$26))</f>
        <v>0.4</v>
      </c>
      <c r="G8" s="17" t="n">
        <v>0</v>
      </c>
      <c r="H8" s="17" t="n">
        <v>1</v>
      </c>
      <c r="I8" s="19" t="n">
        <f aca="false">IF(G8="","",G8*H8)</f>
        <v>0</v>
      </c>
      <c r="J8" s="23" t="n">
        <f aca="false">IF(I8="","",I8*(1-범례!$C$22)*직업!$E$5)</f>
        <v>0</v>
      </c>
      <c r="K8" s="23" t="n">
        <f aca="false">IF(J8="","",J8*IF(ISNUMBER(SEARCH("광역",$C8)),범례!$C$30,1))</f>
        <v>0</v>
      </c>
      <c r="L8" s="22" t="n">
        <f aca="false">IF(OR(J8="",D8="",D8=0),"",J8/D8)</f>
        <v>0</v>
      </c>
      <c r="M8" s="22" t="n">
        <f aca="false">IF(OR(K8="",D8="",D8=0),"",K8/D8)</f>
        <v>0</v>
      </c>
      <c r="N8" s="22" t="n">
        <f aca="false">IF(OR(K8="",F8="",F8=0),"",K8/F8)</f>
        <v>0</v>
      </c>
      <c r="O8" s="17"/>
      <c r="P8" s="17" t="n">
        <v>1.5</v>
      </c>
      <c r="Q8" s="24" t="s">
        <v>102</v>
      </c>
      <c r="R8" s="22" t="str">
        <f aca="false">IF(AND(LEFT($C8,1)="딜",ISNUMBER(M8)),M8,"")</f>
        <v/>
      </c>
      <c r="S8" s="22" t="str">
        <f aca="false">IF(AND(LEFT($C8,1)="딜",ISNUMBER(N8)),N8,"")</f>
        <v/>
      </c>
    </row>
    <row r="9" customFormat="false" ht="15" hidden="false" customHeight="false" outlineLevel="0" collapsed="false">
      <c r="A9" s="11" t="s">
        <v>103</v>
      </c>
      <c r="B9" s="17" t="s">
        <v>104</v>
      </c>
      <c r="C9" s="17" t="s">
        <v>90</v>
      </c>
      <c r="D9" s="17" t="n">
        <v>6</v>
      </c>
      <c r="E9" s="17" t="n">
        <v>1</v>
      </c>
      <c r="F9" s="22" t="n">
        <f aca="false">IF(E9="","",MAX(E9,범례!$C$26))</f>
        <v>1</v>
      </c>
      <c r="G9" s="17" t="n">
        <v>50</v>
      </c>
      <c r="H9" s="17" t="n">
        <v>3</v>
      </c>
      <c r="I9" s="19" t="n">
        <f aca="false">IF(G9="","",G9*H9)</f>
        <v>150</v>
      </c>
      <c r="J9" s="23" t="n">
        <f aca="false">IF(I9="","",I9*(1-범례!$C$22)*직업!$E$5)</f>
        <v>140</v>
      </c>
      <c r="K9" s="23" t="n">
        <f aca="false">IF(J9="","",J9*IF(ISNUMBER(SEARCH("광역",$C9)),범례!$C$30,1))</f>
        <v>140</v>
      </c>
      <c r="L9" s="22" t="n">
        <f aca="false">IF(OR(J9="",D9="",D9=0),"",J9/D9)</f>
        <v>23.3333333333333</v>
      </c>
      <c r="M9" s="22" t="n">
        <f aca="false">IF(OR(K9="",D9="",D9=0),"",K9/D9)</f>
        <v>23.3333333333333</v>
      </c>
      <c r="N9" s="22" t="n">
        <f aca="false">IF(OR(K9="",F9="",F9=0),"",K9/F9)</f>
        <v>140</v>
      </c>
      <c r="O9" s="17"/>
      <c r="P9" s="17"/>
      <c r="Q9" s="24" t="s">
        <v>105</v>
      </c>
      <c r="R9" s="22" t="n">
        <f aca="false">IF(AND(LEFT($C9,1)="딜",ISNUMBER(M9)),M9,"")</f>
        <v>23.3333333333333</v>
      </c>
      <c r="S9" s="22" t="n">
        <f aca="false">IF(AND(LEFT($C9,1)="딜",ISNUMBER(N9)),N9,"")</f>
        <v>140</v>
      </c>
    </row>
    <row r="10" customFormat="false" ht="15" hidden="false" customHeight="false" outlineLevel="0" collapsed="false">
      <c r="A10" s="11" t="s">
        <v>106</v>
      </c>
      <c r="B10" s="17" t="s">
        <v>107</v>
      </c>
      <c r="C10" s="17" t="s">
        <v>90</v>
      </c>
      <c r="D10" s="17" t="n">
        <v>5</v>
      </c>
      <c r="E10" s="17" t="n">
        <v>0.8</v>
      </c>
      <c r="F10" s="22" t="n">
        <f aca="false">IF(E10="","",MAX(E10,범례!$C$26))</f>
        <v>0.8</v>
      </c>
      <c r="G10" s="17" t="n">
        <v>110</v>
      </c>
      <c r="H10" s="17" t="n">
        <v>1</v>
      </c>
      <c r="I10" s="19" t="n">
        <f aca="false">IF(G10="","",G10*H10)</f>
        <v>110</v>
      </c>
      <c r="J10" s="23" t="n">
        <f aca="false">IF(I10="","",I10*(1-범례!$C$22)*직업!$E$5)</f>
        <v>102.666666666667</v>
      </c>
      <c r="K10" s="23" t="n">
        <f aca="false">IF(J10="","",J10*IF(ISNUMBER(SEARCH("광역",$C10)),범례!$C$30,1))</f>
        <v>102.666666666667</v>
      </c>
      <c r="L10" s="22" t="n">
        <f aca="false">IF(OR(J10="",D10="",D10=0),"",J10/D10)</f>
        <v>20.5333333333333</v>
      </c>
      <c r="M10" s="22" t="n">
        <f aca="false">IF(OR(K10="",D10="",D10=0),"",K10/D10)</f>
        <v>20.5333333333333</v>
      </c>
      <c r="N10" s="22" t="n">
        <f aca="false">IF(OR(K10="",F10="",F10=0),"",K10/F10)</f>
        <v>128.333333333333</v>
      </c>
      <c r="O10" s="17"/>
      <c r="P10" s="17"/>
      <c r="Q10" s="24" t="s">
        <v>108</v>
      </c>
      <c r="R10" s="22" t="n">
        <f aca="false">IF(AND(LEFT($C10,1)="딜",ISNUMBER(M10)),M10,"")</f>
        <v>20.5333333333333</v>
      </c>
      <c r="S10" s="22" t="n">
        <f aca="false">IF(AND(LEFT($C10,1)="딜",ISNUMBER(N10)),N10,"")</f>
        <v>128.333333333333</v>
      </c>
    </row>
    <row r="11" customFormat="false" ht="15" hidden="false" customHeight="false" outlineLevel="0" collapsed="false">
      <c r="A11" s="11" t="s">
        <v>109</v>
      </c>
      <c r="B11" s="17" t="s">
        <v>110</v>
      </c>
      <c r="C11" s="17" t="s">
        <v>90</v>
      </c>
      <c r="D11" s="17" t="n">
        <v>5</v>
      </c>
      <c r="E11" s="17" t="n">
        <v>0.6</v>
      </c>
      <c r="F11" s="22" t="n">
        <f aca="false">IF(E11="","",MAX(E11,범례!$C$26))</f>
        <v>0.6</v>
      </c>
      <c r="G11" s="17" t="n">
        <v>150</v>
      </c>
      <c r="H11" s="17" t="n">
        <v>1</v>
      </c>
      <c r="I11" s="19" t="n">
        <f aca="false">IF(G11="","",G11*H11)</f>
        <v>150</v>
      </c>
      <c r="J11" s="23" t="n">
        <f aca="false">IF(I11="","",I11*(1-범례!$C$22)*직업!$E$5)</f>
        <v>140</v>
      </c>
      <c r="K11" s="23" t="n">
        <f aca="false">IF(J11="","",J11*IF(ISNUMBER(SEARCH("광역",$C11)),범례!$C$30,1))</f>
        <v>140</v>
      </c>
      <c r="L11" s="22" t="n">
        <f aca="false">IF(OR(J11="",D11="",D11=0),"",J11/D11)</f>
        <v>28</v>
      </c>
      <c r="M11" s="22" t="n">
        <f aca="false">IF(OR(K11="",D11="",D11=0),"",K11/D11)</f>
        <v>28</v>
      </c>
      <c r="N11" s="22" t="n">
        <f aca="false">IF(OR(K11="",F11="",F11=0),"",K11/F11)</f>
        <v>233.333333333333</v>
      </c>
      <c r="O11" s="17"/>
      <c r="P11" s="17"/>
      <c r="Q11" s="24" t="s">
        <v>111</v>
      </c>
      <c r="R11" s="22" t="n">
        <f aca="false">IF(AND(LEFT($C11,1)="딜",ISNUMBER(M11)),M11,"")</f>
        <v>28</v>
      </c>
      <c r="S11" s="22" t="n">
        <f aca="false">IF(AND(LEFT($C11,1)="딜",ISNUMBER(N11)),N11,"")</f>
        <v>233.333333333333</v>
      </c>
    </row>
    <row r="12" customFormat="false" ht="15" hidden="false" customHeight="false" outlineLevel="0" collapsed="false">
      <c r="A12" s="11" t="s">
        <v>112</v>
      </c>
      <c r="B12" s="17" t="s">
        <v>113</v>
      </c>
      <c r="C12" s="17" t="s">
        <v>90</v>
      </c>
      <c r="D12" s="17" t="n">
        <v>7</v>
      </c>
      <c r="E12" s="17" t="n">
        <v>1.2</v>
      </c>
      <c r="F12" s="22" t="n">
        <f aca="false">IF(E12="","",MAX(E12,범례!$C$26))</f>
        <v>1.2</v>
      </c>
      <c r="G12" s="17" t="n">
        <v>90</v>
      </c>
      <c r="H12" s="17" t="n">
        <v>2</v>
      </c>
      <c r="I12" s="19" t="n">
        <f aca="false">IF(G12="","",G12*H12)</f>
        <v>180</v>
      </c>
      <c r="J12" s="23" t="n">
        <f aca="false">IF(I12="","",I12*(1-범례!$C$22)*직업!$E$5)</f>
        <v>168</v>
      </c>
      <c r="K12" s="23" t="n">
        <f aca="false">IF(J12="","",J12*IF(ISNUMBER(SEARCH("광역",$C12)),범례!$C$30,1))</f>
        <v>168</v>
      </c>
      <c r="L12" s="22" t="n">
        <f aca="false">IF(OR(J12="",D12="",D12=0),"",J12/D12)</f>
        <v>24</v>
      </c>
      <c r="M12" s="22" t="n">
        <f aca="false">IF(OR(K12="",D12="",D12=0),"",K12/D12)</f>
        <v>24</v>
      </c>
      <c r="N12" s="22" t="n">
        <f aca="false">IF(OR(K12="",F12="",F12=0),"",K12/F12)</f>
        <v>140</v>
      </c>
      <c r="O12" s="17"/>
      <c r="P12" s="17"/>
      <c r="Q12" s="24" t="s">
        <v>114</v>
      </c>
      <c r="R12" s="22" t="n">
        <f aca="false">IF(AND(LEFT($C12,1)="딜",ISNUMBER(M12)),M12,"")</f>
        <v>24</v>
      </c>
      <c r="S12" s="22" t="n">
        <f aca="false">IF(AND(LEFT($C12,1)="딜",ISNUMBER(N12)),N12,"")</f>
        <v>140</v>
      </c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22" t="str">
        <f aca="false">IF(E13="","",MAX(E13,범례!$C$26))</f>
        <v/>
      </c>
      <c r="G13" s="17"/>
      <c r="H13" s="17"/>
      <c r="I13" s="19" t="str">
        <f aca="false">IF(G13="","",G13*H13)</f>
        <v/>
      </c>
      <c r="J13" s="23" t="str">
        <f aca="false">IF(I13="","",I13*(1-범례!$C$22)*직업!$E$5)</f>
        <v/>
      </c>
      <c r="K13" s="23" t="str">
        <f aca="false">IF(J13="","",J13*IF(ISNUMBER(SEARCH("광역",$C13)),범례!$C$30,1))</f>
        <v/>
      </c>
      <c r="L13" s="22" t="str">
        <f aca="false">IF(OR(J13="",D13="",D13=0),"",J13/D13)</f>
        <v/>
      </c>
      <c r="M13" s="22" t="str">
        <f aca="false">IF(OR(K13="",D13="",D13=0),"",K13/D13)</f>
        <v/>
      </c>
      <c r="N13" s="22" t="str">
        <f aca="false">IF(OR(K13="",F13="",F13=0),"",K13/F13)</f>
        <v/>
      </c>
      <c r="O13" s="17"/>
      <c r="P13" s="17"/>
      <c r="Q13" s="20"/>
      <c r="R13" s="22" t="str">
        <f aca="false">IF(AND(LEFT($C13,1)="딜",ISNUMBER(M13)),M13,"")</f>
        <v/>
      </c>
      <c r="S13" s="22" t="str">
        <f aca="false">IF(AND(LEFT($C13,1)="딜",ISNUMBER(N13)),N13,"")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22" t="str">
        <f aca="false">IF(E14="","",MAX(E14,범례!$C$26))</f>
        <v/>
      </c>
      <c r="G14" s="17"/>
      <c r="H14" s="17"/>
      <c r="I14" s="19" t="str">
        <f aca="false">IF(G14="","",G14*H14)</f>
        <v/>
      </c>
      <c r="J14" s="23" t="str">
        <f aca="false">IF(I14="","",I14*(1-범례!$C$22)*직업!$E$5)</f>
        <v/>
      </c>
      <c r="K14" s="23" t="str">
        <f aca="false">IF(J14="","",J14*IF(ISNUMBER(SEARCH("광역",$C14)),범례!$C$30,1))</f>
        <v/>
      </c>
      <c r="L14" s="22" t="str">
        <f aca="false">IF(OR(J14="",D14="",D14=0),"",J14/D14)</f>
        <v/>
      </c>
      <c r="M14" s="22" t="str">
        <f aca="false">IF(OR(K14="",D14="",D14=0),"",K14/D14)</f>
        <v/>
      </c>
      <c r="N14" s="22" t="str">
        <f aca="false">IF(OR(K14="",F14="",F14=0),"",K14/F14)</f>
        <v/>
      </c>
      <c r="O14" s="17"/>
      <c r="P14" s="17"/>
      <c r="Q14" s="20"/>
      <c r="R14" s="22" t="str">
        <f aca="false">IF(AND(LEFT($C14,1)="딜",ISNUMBER(M14)),M14,"")</f>
        <v/>
      </c>
      <c r="S14" s="22" t="str">
        <f aca="false">IF(AND(LEFT($C14,1)="딜",ISNUMBER(N14)),N14,"")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22" t="str">
        <f aca="false">IF(E15="","",MAX(E15,범례!$C$26))</f>
        <v/>
      </c>
      <c r="G15" s="17"/>
      <c r="H15" s="17"/>
      <c r="I15" s="19" t="str">
        <f aca="false">IF(G15="","",G15*H15)</f>
        <v/>
      </c>
      <c r="J15" s="23" t="str">
        <f aca="false">IF(I15="","",I15*(1-범례!$C$22)*직업!$E$5)</f>
        <v/>
      </c>
      <c r="K15" s="23" t="str">
        <f aca="false">IF(J15="","",J15*IF(ISNUMBER(SEARCH("광역",$C15)),범례!$C$30,1))</f>
        <v/>
      </c>
      <c r="L15" s="22" t="str">
        <f aca="false">IF(OR(J15="",D15="",D15=0),"",J15/D15)</f>
        <v/>
      </c>
      <c r="M15" s="22" t="str">
        <f aca="false">IF(OR(K15="",D15="",D15=0),"",K15/D15)</f>
        <v/>
      </c>
      <c r="N15" s="22" t="str">
        <f aca="false">IF(OR(K15="",F15="",F15=0),"",K15/F15)</f>
        <v/>
      </c>
      <c r="O15" s="17"/>
      <c r="P15" s="17"/>
      <c r="Q15" s="20"/>
      <c r="R15" s="22" t="str">
        <f aca="false">IF(AND(LEFT($C15,1)="딜",ISNUMBER(M15)),M15,"")</f>
        <v/>
      </c>
      <c r="S15" s="22" t="str">
        <f aca="false">IF(AND(LEFT($C15,1)="딜",ISNUMBER(N15)),N15,"")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22" t="str">
        <f aca="false">IF(E16="","",MAX(E16,범례!$C$26))</f>
        <v/>
      </c>
      <c r="G16" s="17"/>
      <c r="H16" s="17"/>
      <c r="I16" s="19" t="str">
        <f aca="false">IF(G16="","",G16*H16)</f>
        <v/>
      </c>
      <c r="J16" s="23" t="str">
        <f aca="false">IF(I16="","",I16*(1-범례!$C$22)*직업!$E$5)</f>
        <v/>
      </c>
      <c r="K16" s="23" t="str">
        <f aca="false">IF(J16="","",J16*IF(ISNUMBER(SEARCH("광역",$C16)),범례!$C$30,1))</f>
        <v/>
      </c>
      <c r="L16" s="22" t="str">
        <f aca="false">IF(OR(J16="",D16="",D16=0),"",J16/D16)</f>
        <v/>
      </c>
      <c r="M16" s="22" t="str">
        <f aca="false">IF(OR(K16="",D16="",D16=0),"",K16/D16)</f>
        <v/>
      </c>
      <c r="N16" s="22" t="str">
        <f aca="false">IF(OR(K16="",F16="",F16=0),"",K16/F16)</f>
        <v/>
      </c>
      <c r="O16" s="17"/>
      <c r="P16" s="17"/>
      <c r="Q16" s="20"/>
      <c r="R16" s="22" t="str">
        <f aca="false">IF(AND(LEFT($C16,1)="딜",ISNUMBER(M16)),M16,"")</f>
        <v/>
      </c>
      <c r="S16" s="22" t="str">
        <f aca="false">IF(AND(LEFT($C16,1)="딜",ISNUMBER(N16)),N16,"")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22" t="str">
        <f aca="false">IF(E17="","",MAX(E17,범례!$C$26))</f>
        <v/>
      </c>
      <c r="G17" s="17"/>
      <c r="H17" s="17"/>
      <c r="I17" s="19" t="str">
        <f aca="false">IF(G17="","",G17*H17)</f>
        <v/>
      </c>
      <c r="J17" s="23" t="str">
        <f aca="false">IF(I17="","",I17*(1-범례!$C$22)*직업!$E$5)</f>
        <v/>
      </c>
      <c r="K17" s="23" t="str">
        <f aca="false">IF(J17="","",J17*IF(ISNUMBER(SEARCH("광역",$C17)),범례!$C$30,1))</f>
        <v/>
      </c>
      <c r="L17" s="22" t="str">
        <f aca="false">IF(OR(J17="",D17="",D17=0),"",J17/D17)</f>
        <v/>
      </c>
      <c r="M17" s="22" t="str">
        <f aca="false">IF(OR(K17="",D17="",D17=0),"",K17/D17)</f>
        <v/>
      </c>
      <c r="N17" s="22" t="str">
        <f aca="false">IF(OR(K17="",F17="",F17=0),"",K17/F17)</f>
        <v/>
      </c>
      <c r="O17" s="17"/>
      <c r="P17" s="17"/>
      <c r="Q17" s="20"/>
      <c r="R17" s="22" t="str">
        <f aca="false">IF(AND(LEFT($C17,1)="딜",ISNUMBER(M17)),M17,"")</f>
        <v/>
      </c>
      <c r="S17" s="22" t="str">
        <f aca="false">IF(AND(LEFT($C17,1)="딜",ISNUMBER(N17)),N17,"")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22" t="str">
        <f aca="false">IF(E18="","",MAX(E18,범례!$C$26))</f>
        <v/>
      </c>
      <c r="G18" s="17"/>
      <c r="H18" s="17"/>
      <c r="I18" s="19" t="str">
        <f aca="false">IF(G18="","",G18*H18)</f>
        <v/>
      </c>
      <c r="J18" s="23" t="str">
        <f aca="false">IF(I18="","",I18*(1-범례!$C$22)*직업!$E$5)</f>
        <v/>
      </c>
      <c r="K18" s="23" t="str">
        <f aca="false">IF(J18="","",J18*IF(ISNUMBER(SEARCH("광역",$C18)),범례!$C$30,1))</f>
        <v/>
      </c>
      <c r="L18" s="22" t="str">
        <f aca="false">IF(OR(J18="",D18="",D18=0),"",J18/D18)</f>
        <v/>
      </c>
      <c r="M18" s="22" t="str">
        <f aca="false">IF(OR(K18="",D18="",D18=0),"",K18/D18)</f>
        <v/>
      </c>
      <c r="N18" s="22" t="str">
        <f aca="false">IF(OR(K18="",F18="",F18=0),"",K18/F18)</f>
        <v/>
      </c>
      <c r="O18" s="17"/>
      <c r="P18" s="17"/>
      <c r="Q18" s="20"/>
      <c r="R18" s="22" t="str">
        <f aca="false">IF(AND(LEFT($C18,1)="딜",ISNUMBER(M18)),M18,"")</f>
        <v/>
      </c>
      <c r="S18" s="22" t="str">
        <f aca="false">IF(AND(LEFT($C18,1)="딜",ISNUMBER(N18)),N18,"")</f>
        <v/>
      </c>
    </row>
    <row r="22" customFormat="false" ht="15" hidden="false" customHeight="false" outlineLevel="0" collapsed="false">
      <c r="A22" s="3" t="s">
        <v>115</v>
      </c>
    </row>
    <row r="23" customFormat="false" ht="29.85" hidden="false" customHeight="false" outlineLevel="0" collapsed="false">
      <c r="A23" s="10" t="s">
        <v>116</v>
      </c>
      <c r="B23" s="22" t="n">
        <f aca="false">IFERROR(MAX(R5:R18),"")</f>
        <v>31.1111111111111</v>
      </c>
      <c r="C23" s="25" t="s">
        <v>117</v>
      </c>
    </row>
    <row r="24" customFormat="false" ht="29.85" hidden="false" customHeight="false" outlineLevel="0" collapsed="false">
      <c r="A24" s="10" t="s">
        <v>118</v>
      </c>
      <c r="B24" s="22" t="n">
        <f aca="false">IFERROR(MIN(R5:R18),"")</f>
        <v>20.5333333333333</v>
      </c>
      <c r="C24" s="25"/>
    </row>
    <row r="25" customFormat="false" ht="29.85" hidden="false" customHeight="false" outlineLevel="0" collapsed="false">
      <c r="A25" s="10" t="s">
        <v>119</v>
      </c>
      <c r="B25" s="19" t="n">
        <f aca="false">IFERROR(B23/B24,"")</f>
        <v>1.51515151515152</v>
      </c>
      <c r="C25" s="25" t="s">
        <v>120</v>
      </c>
    </row>
    <row r="26" customFormat="false" ht="29.85" hidden="false" customHeight="false" outlineLevel="0" collapsed="false">
      <c r="A26" s="10" t="s">
        <v>121</v>
      </c>
      <c r="B26" s="22" t="n">
        <f aca="false">IFERROR(MAX(S5:S18),"")</f>
        <v>280</v>
      </c>
      <c r="C26" s="25" t="s">
        <v>122</v>
      </c>
    </row>
    <row r="27" customFormat="false" ht="29.85" hidden="false" customHeight="false" outlineLevel="0" collapsed="false">
      <c r="A27" s="10" t="s">
        <v>123</v>
      </c>
      <c r="B27" s="22" t="n">
        <f aca="false">IFERROR(MIN(S5:S18),"")</f>
        <v>128.333333333333</v>
      </c>
      <c r="C27" s="25"/>
    </row>
    <row r="28" customFormat="false" ht="29.85" hidden="false" customHeight="false" outlineLevel="0" collapsed="false">
      <c r="A28" s="10" t="s">
        <v>124</v>
      </c>
      <c r="B28" s="19" t="n">
        <f aca="false">IFERROR(B26/B27,"")</f>
        <v>2.18181818181818</v>
      </c>
      <c r="C28" s="25" t="s">
        <v>120</v>
      </c>
    </row>
    <row r="29" customFormat="false" ht="29.85" hidden="false" customHeight="false" outlineLevel="0" collapsed="false">
      <c r="A29" s="10" t="s">
        <v>125</v>
      </c>
      <c r="B29" s="23" t="n">
        <f aca="false">COUNTIF(C5:C18,"딜/단일")</f>
        <v>6</v>
      </c>
      <c r="C29" s="25" t="s">
        <v>126</v>
      </c>
    </row>
    <row r="30" customFormat="false" ht="29.85" hidden="false" customHeight="false" outlineLevel="0" collapsed="false">
      <c r="A30" s="10" t="s">
        <v>127</v>
      </c>
      <c r="B30" s="23" t="n">
        <f aca="false">COUNTIF(C5:C18,"딜/광역")</f>
        <v>0</v>
      </c>
      <c r="C30" s="25" t="s">
        <v>126</v>
      </c>
    </row>
    <row r="31" customFormat="false" ht="29.85" hidden="false" customHeight="false" outlineLevel="0" collapsed="false">
      <c r="A31" s="10" t="s">
        <v>128</v>
      </c>
      <c r="B31" s="23" t="n">
        <f aca="false">COUNTIF(C5:C18,"차단")</f>
        <v>1</v>
      </c>
      <c r="C31" s="25" t="s">
        <v>129</v>
      </c>
    </row>
    <row r="32" customFormat="false" ht="29.85" hidden="false" customHeight="false" outlineLevel="0" collapsed="false">
      <c r="A32" s="10" t="s">
        <v>130</v>
      </c>
      <c r="B32" s="23" t="n">
        <f aca="false">COUNTIF(C5:C18,"방어")</f>
        <v>1</v>
      </c>
      <c r="C32" s="25" t="s">
        <v>129</v>
      </c>
    </row>
    <row r="34" customFormat="false" ht="15" hidden="false" customHeight="false" outlineLevel="0" collapsed="false">
      <c r="A34" s="14" t="s">
        <v>131</v>
      </c>
    </row>
    <row r="35" customFormat="false" ht="15" hidden="false" customHeight="false" outlineLevel="0" collapsed="false">
      <c r="A35" s="14" t="s">
        <v>132</v>
      </c>
    </row>
    <row r="37" customFormat="false" ht="15" hidden="false" customHeight="false" outlineLevel="0" collapsed="false">
      <c r="A37" s="3" t="s">
        <v>133</v>
      </c>
    </row>
    <row r="38" customFormat="false" ht="128.35" hidden="false" customHeight="false" outlineLevel="0" collapsed="false">
      <c r="A38" s="25" t="s">
        <v>134</v>
      </c>
    </row>
    <row r="39" customFormat="false" ht="166.4" hidden="false" customHeight="false" outlineLevel="0" collapsed="false">
      <c r="A39" s="26" t="s">
        <v>135</v>
      </c>
    </row>
    <row r="40" customFormat="false" ht="153.7" hidden="false" customHeight="false" outlineLevel="0" collapsed="false">
      <c r="A40" s="25" t="s">
        <v>136</v>
      </c>
    </row>
    <row r="41" customFormat="false" ht="164.15" hidden="false" customHeight="false" outlineLevel="0" collapsed="false">
      <c r="A41" s="2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10" min="9" style="0" width="17"/>
    <col collapsed="false" customWidth="true" hidden="false" outlineLevel="0" max="12" min="11" style="0" width="16"/>
  </cols>
  <sheetData>
    <row r="1" customFormat="false" ht="20.1" hidden="false" customHeight="false" outlineLevel="0" collapsed="false">
      <c r="A1" s="15" t="s">
        <v>138</v>
      </c>
    </row>
    <row r="2" customFormat="false" ht="15" hidden="false" customHeight="false" outlineLevel="0" collapsed="false">
      <c r="A2" s="21" t="s">
        <v>139</v>
      </c>
    </row>
    <row r="4" customFormat="false" ht="31.5" hidden="false" customHeight="true" outlineLevel="0" collapsed="false">
      <c r="A4" s="8" t="s">
        <v>140</v>
      </c>
      <c r="B4" s="8" t="s">
        <v>70</v>
      </c>
      <c r="C4" s="8" t="s">
        <v>71</v>
      </c>
      <c r="D4" s="8" t="s">
        <v>72</v>
      </c>
      <c r="E4" s="8" t="s">
        <v>74</v>
      </c>
      <c r="F4" s="8" t="s">
        <v>141</v>
      </c>
      <c r="G4" s="8" t="s">
        <v>142</v>
      </c>
      <c r="H4" s="8" t="s">
        <v>143</v>
      </c>
      <c r="I4" s="8" t="s">
        <v>144</v>
      </c>
      <c r="J4" s="8" t="s">
        <v>145</v>
      </c>
      <c r="K4" s="8" t="s">
        <v>146</v>
      </c>
      <c r="L4" s="8" t="s">
        <v>147</v>
      </c>
    </row>
    <row r="5" customFormat="false" ht="15" hidden="false" customHeight="false" outlineLevel="0" collapsed="false">
      <c r="A5" s="27" t="n">
        <v>1</v>
      </c>
      <c r="B5" s="17" t="s">
        <v>89</v>
      </c>
      <c r="C5" s="27" t="str">
        <f aca="false">IFERROR(INDEX(스킬!$C:$C,MATCH($B5,스킬!$B:$B,0)),"")</f>
        <v>딜/단일</v>
      </c>
      <c r="D5" s="23" t="n">
        <f aca="false">IFERROR(INDEX(스킬!$D:$D,MATCH($B5,스킬!$B:$B,0)),"")</f>
        <v>3</v>
      </c>
      <c r="E5" s="22" t="n">
        <f aca="false">IFERROR(INDEX(스킬!$F:$F,MATCH($B5,스킬!$B:$B,0)),"")</f>
        <v>0.4</v>
      </c>
      <c r="F5" s="23" t="n">
        <f aca="false">IFERROR(INDEX(스킬!$J:$J,MATCH($B5,스킬!$B:$B,0)),"")</f>
        <v>93.3333333333334</v>
      </c>
      <c r="G5" s="27" t="str">
        <f aca="false">IF($A5&lt;=4,"손패","대기열")</f>
        <v>손패</v>
      </c>
      <c r="H5" s="23" t="n">
        <f aca="false">IF($A5&lt;=4,0,SUM($D$5:INDEX($D$5:$D$12,$A5-4)))</f>
        <v>0</v>
      </c>
      <c r="I5" s="22" t="n">
        <f aca="false">IFERROR(H5/범례!$C$23,"")</f>
        <v>0</v>
      </c>
      <c r="J5" s="22" t="n">
        <f aca="false">IF($A5&lt;=4,0,SUM($E$5:INDEX($E$5:$E$12,$A5-4)))</f>
        <v>0</v>
      </c>
      <c r="K5" s="22" t="str">
        <f aca="false">IF(OR(C5="차단",C5="방어"),I5,"")</f>
        <v/>
      </c>
      <c r="L5" s="22" t="str">
        <f aca="false">IF(OR(C5="차단",C5="방어"),J5,"")</f>
        <v/>
      </c>
    </row>
    <row r="6" customFormat="false" ht="15" hidden="false" customHeight="false" outlineLevel="0" collapsed="false">
      <c r="A6" s="27" t="n">
        <v>2</v>
      </c>
      <c r="B6" s="17" t="s">
        <v>93</v>
      </c>
      <c r="C6" s="27" t="str">
        <f aca="false">IFERROR(INDEX(스킬!$C:$C,MATCH($B6,스킬!$B:$B,0)),"")</f>
        <v>딜/단일</v>
      </c>
      <c r="D6" s="23" t="n">
        <f aca="false">IFERROR(INDEX(스킬!$D:$D,MATCH($B6,스킬!$B:$B,0)),"")</f>
        <v>4</v>
      </c>
      <c r="E6" s="22" t="n">
        <f aca="false">IFERROR(INDEX(스킬!$F:$F,MATCH($B6,스킬!$B:$B,0)),"")</f>
        <v>0.4</v>
      </c>
      <c r="F6" s="23" t="n">
        <f aca="false">IFERROR(INDEX(스킬!$J:$J,MATCH($B6,스킬!$B:$B,0)),"")</f>
        <v>112</v>
      </c>
      <c r="G6" s="27" t="str">
        <f aca="false">IF($A6&lt;=4,"손패","대기열")</f>
        <v>손패</v>
      </c>
      <c r="H6" s="23" t="n">
        <f aca="false">IF($A6&lt;=4,0,SUM($D$5:INDEX($D$5:$D$12,$A6-4)))</f>
        <v>0</v>
      </c>
      <c r="I6" s="22" t="n">
        <f aca="false">IFERROR(H6/범례!$C$23,"")</f>
        <v>0</v>
      </c>
      <c r="J6" s="22" t="n">
        <f aca="false">IF($A6&lt;=4,0,SUM($E$5:INDEX($E$5:$E$12,$A6-4)))</f>
        <v>0</v>
      </c>
      <c r="K6" s="22" t="str">
        <f aca="false">IF(OR(C6="차단",C6="방어"),I6,"")</f>
        <v/>
      </c>
      <c r="L6" s="22" t="str">
        <f aca="false">IF(OR(C6="차단",C6="방어"),J6,"")</f>
        <v/>
      </c>
    </row>
    <row r="7" customFormat="false" ht="15" hidden="false" customHeight="false" outlineLevel="0" collapsed="false">
      <c r="A7" s="27" t="n">
        <v>3</v>
      </c>
      <c r="B7" s="17" t="s">
        <v>96</v>
      </c>
      <c r="C7" s="27" t="str">
        <f aca="false">IFERROR(INDEX(스킬!$C:$C,MATCH($B7,스킬!$B:$B,0)),"")</f>
        <v>방어</v>
      </c>
      <c r="D7" s="23" t="n">
        <f aca="false">IFERROR(INDEX(스킬!$D:$D,MATCH($B7,스킬!$B:$B,0)),"")</f>
        <v>3</v>
      </c>
      <c r="E7" s="22" t="n">
        <f aca="false">IFERROR(INDEX(스킬!$F:$F,MATCH($B7,스킬!$B:$B,0)),"")</f>
        <v>0.4</v>
      </c>
      <c r="F7" s="23" t="n">
        <f aca="false">IFERROR(INDEX(스킬!$J:$J,MATCH($B7,스킬!$B:$B,0)),"")</f>
        <v>0</v>
      </c>
      <c r="G7" s="27" t="str">
        <f aca="false">IF($A7&lt;=4,"손패","대기열")</f>
        <v>손패</v>
      </c>
      <c r="H7" s="23" t="n">
        <f aca="false">IF($A7&lt;=4,0,SUM($D$5:INDEX($D$5:$D$12,$A7-4)))</f>
        <v>0</v>
      </c>
      <c r="I7" s="22" t="n">
        <f aca="false">IFERROR(H7/범례!$C$23,"")</f>
        <v>0</v>
      </c>
      <c r="J7" s="22" t="n">
        <f aca="false">IF($A7&lt;=4,0,SUM($E$5:INDEX($E$5:$E$12,$A7-4)))</f>
        <v>0</v>
      </c>
      <c r="K7" s="22" t="n">
        <f aca="false">IF(OR(C7="차단",C7="방어"),I7,"")</f>
        <v>0</v>
      </c>
      <c r="L7" s="22" t="n">
        <f aca="false">IF(OR(C7="차단",C7="방어"),J7,"")</f>
        <v>0</v>
      </c>
    </row>
    <row r="8" customFormat="false" ht="15" hidden="false" customHeight="false" outlineLevel="0" collapsed="false">
      <c r="A8" s="27" t="n">
        <v>4</v>
      </c>
      <c r="B8" s="17" t="s">
        <v>100</v>
      </c>
      <c r="C8" s="27" t="str">
        <f aca="false">IFERROR(INDEX(스킬!$C:$C,MATCH($B8,스킬!$B:$B,0)),"")</f>
        <v>차단</v>
      </c>
      <c r="D8" s="23" t="n">
        <f aca="false">IFERROR(INDEX(스킬!$D:$D,MATCH($B8,스킬!$B:$B,0)),"")</f>
        <v>4</v>
      </c>
      <c r="E8" s="22" t="n">
        <f aca="false">IFERROR(INDEX(스킬!$F:$F,MATCH($B8,스킬!$B:$B,0)),"")</f>
        <v>0.4</v>
      </c>
      <c r="F8" s="23" t="n">
        <f aca="false">IFERROR(INDEX(스킬!$J:$J,MATCH($B8,스킬!$B:$B,0)),"")</f>
        <v>0</v>
      </c>
      <c r="G8" s="27" t="str">
        <f aca="false">IF($A8&lt;=4,"손패","대기열")</f>
        <v>손패</v>
      </c>
      <c r="H8" s="23" t="n">
        <f aca="false">IF($A8&lt;=4,0,SUM($D$5:INDEX($D$5:$D$12,$A8-4)))</f>
        <v>0</v>
      </c>
      <c r="I8" s="22" t="n">
        <f aca="false">IFERROR(H8/범례!$C$23,"")</f>
        <v>0</v>
      </c>
      <c r="J8" s="22" t="n">
        <f aca="false">IF($A8&lt;=4,0,SUM($E$5:INDEX($E$5:$E$12,$A8-4)))</f>
        <v>0</v>
      </c>
      <c r="K8" s="22" t="n">
        <f aca="false">IF(OR(C8="차단",C8="방어"),I8,"")</f>
        <v>0</v>
      </c>
      <c r="L8" s="22" t="n">
        <f aca="false">IF(OR(C8="차단",C8="방어"),J8,"")</f>
        <v>0</v>
      </c>
    </row>
    <row r="9" customFormat="false" ht="15" hidden="false" customHeight="false" outlineLevel="0" collapsed="false">
      <c r="A9" s="27" t="n">
        <v>5</v>
      </c>
      <c r="B9" s="17" t="s">
        <v>104</v>
      </c>
      <c r="C9" s="27" t="str">
        <f aca="false">IFERROR(INDEX(스킬!$C:$C,MATCH($B9,스킬!$B:$B,0)),"")</f>
        <v>딜/단일</v>
      </c>
      <c r="D9" s="23" t="n">
        <f aca="false">IFERROR(INDEX(스킬!$D:$D,MATCH($B9,스킬!$B:$B,0)),"")</f>
        <v>6</v>
      </c>
      <c r="E9" s="22" t="n">
        <f aca="false">IFERROR(INDEX(스킬!$F:$F,MATCH($B9,스킬!$B:$B,0)),"")</f>
        <v>1</v>
      </c>
      <c r="F9" s="23" t="n">
        <f aca="false">IFERROR(INDEX(스킬!$J:$J,MATCH($B9,스킬!$B:$B,0)),"")</f>
        <v>140</v>
      </c>
      <c r="G9" s="27" t="str">
        <f aca="false">IF($A9&lt;=4,"손패","대기열")</f>
        <v>대기열</v>
      </c>
      <c r="H9" s="23" t="n">
        <f aca="false">IF($A9&lt;=4,0,SUM($D$5:INDEX($D$5:$D$12,$A9-4)))</f>
        <v>3</v>
      </c>
      <c r="I9" s="22" t="n">
        <f aca="false">IFERROR(H9/범례!$C$23,"")</f>
        <v>3.75</v>
      </c>
      <c r="J9" s="22" t="n">
        <f aca="false">IF($A9&lt;=4,0,SUM($E$5:INDEX($E$5:$E$12,$A9-4)))</f>
        <v>0.4</v>
      </c>
      <c r="K9" s="22" t="str">
        <f aca="false">IF(OR(C9="차단",C9="방어"),I9,"")</f>
        <v/>
      </c>
      <c r="L9" s="22" t="str">
        <f aca="false">IF(OR(C9="차단",C9="방어"),J9,"")</f>
        <v/>
      </c>
    </row>
    <row r="10" customFormat="false" ht="15" hidden="false" customHeight="false" outlineLevel="0" collapsed="false">
      <c r="A10" s="27" t="n">
        <v>6</v>
      </c>
      <c r="B10" s="17" t="s">
        <v>107</v>
      </c>
      <c r="C10" s="27" t="str">
        <f aca="false">IFERROR(INDEX(스킬!$C:$C,MATCH($B10,스킬!$B:$B,0)),"")</f>
        <v>딜/단일</v>
      </c>
      <c r="D10" s="23" t="n">
        <f aca="false">IFERROR(INDEX(스킬!$D:$D,MATCH($B10,스킬!$B:$B,0)),"")</f>
        <v>5</v>
      </c>
      <c r="E10" s="22" t="n">
        <f aca="false">IFERROR(INDEX(스킬!$F:$F,MATCH($B10,스킬!$B:$B,0)),"")</f>
        <v>0.8</v>
      </c>
      <c r="F10" s="23" t="n">
        <f aca="false">IFERROR(INDEX(스킬!$J:$J,MATCH($B10,스킬!$B:$B,0)),"")</f>
        <v>102.666666666667</v>
      </c>
      <c r="G10" s="27" t="str">
        <f aca="false">IF($A10&lt;=4,"손패","대기열")</f>
        <v>대기열</v>
      </c>
      <c r="H10" s="23" t="n">
        <f aca="false">IF($A10&lt;=4,0,SUM($D$5:INDEX($D$5:$D$12,$A10-4)))</f>
        <v>7</v>
      </c>
      <c r="I10" s="22" t="n">
        <f aca="false">IFERROR(H10/범례!$C$23,"")</f>
        <v>8.75</v>
      </c>
      <c r="J10" s="22" t="n">
        <f aca="false">IF($A10&lt;=4,0,SUM($E$5:INDEX($E$5:$E$12,$A10-4)))</f>
        <v>0.8</v>
      </c>
      <c r="K10" s="22" t="str">
        <f aca="false">IF(OR(C10="차단",C10="방어"),I10,"")</f>
        <v/>
      </c>
      <c r="L10" s="22" t="str">
        <f aca="false">IF(OR(C10="차단",C10="방어"),J10,"")</f>
        <v/>
      </c>
    </row>
    <row r="11" customFormat="false" ht="15" hidden="false" customHeight="false" outlineLevel="0" collapsed="false">
      <c r="A11" s="27" t="n">
        <v>7</v>
      </c>
      <c r="B11" s="17" t="s">
        <v>110</v>
      </c>
      <c r="C11" s="27" t="str">
        <f aca="false">IFERROR(INDEX(스킬!$C:$C,MATCH($B11,스킬!$B:$B,0)),"")</f>
        <v>딜/단일</v>
      </c>
      <c r="D11" s="23" t="n">
        <f aca="false">IFERROR(INDEX(스킬!$D:$D,MATCH($B11,스킬!$B:$B,0)),"")</f>
        <v>5</v>
      </c>
      <c r="E11" s="22" t="n">
        <f aca="false">IFERROR(INDEX(스킬!$F:$F,MATCH($B11,스킬!$B:$B,0)),"")</f>
        <v>0.6</v>
      </c>
      <c r="F11" s="23" t="n">
        <f aca="false">IFERROR(INDEX(스킬!$J:$J,MATCH($B11,스킬!$B:$B,0)),"")</f>
        <v>140</v>
      </c>
      <c r="G11" s="27" t="str">
        <f aca="false">IF($A11&lt;=4,"손패","대기열")</f>
        <v>대기열</v>
      </c>
      <c r="H11" s="23" t="n">
        <f aca="false">IF($A11&lt;=4,0,SUM($D$5:INDEX($D$5:$D$12,$A11-4)))</f>
        <v>10</v>
      </c>
      <c r="I11" s="22" t="n">
        <f aca="false">IFERROR(H11/범례!$C$23,"")</f>
        <v>12.5</v>
      </c>
      <c r="J11" s="22" t="n">
        <f aca="false">IF($A11&lt;=4,0,SUM($E$5:INDEX($E$5:$E$12,$A11-4)))</f>
        <v>1.2</v>
      </c>
      <c r="K11" s="22" t="str">
        <f aca="false">IF(OR(C11="차단",C11="방어"),I11,"")</f>
        <v/>
      </c>
      <c r="L11" s="22" t="str">
        <f aca="false">IF(OR(C11="차단",C11="방어"),J11,"")</f>
        <v/>
      </c>
    </row>
    <row r="12" customFormat="false" ht="15" hidden="false" customHeight="false" outlineLevel="0" collapsed="false">
      <c r="A12" s="27" t="n">
        <v>8</v>
      </c>
      <c r="B12" s="17" t="s">
        <v>113</v>
      </c>
      <c r="C12" s="27" t="str">
        <f aca="false">IFERROR(INDEX(스킬!$C:$C,MATCH($B12,스킬!$B:$B,0)),"")</f>
        <v>딜/단일</v>
      </c>
      <c r="D12" s="23" t="n">
        <f aca="false">IFERROR(INDEX(스킬!$D:$D,MATCH($B12,스킬!$B:$B,0)),"")</f>
        <v>7</v>
      </c>
      <c r="E12" s="22" t="n">
        <f aca="false">IFERROR(INDEX(스킬!$F:$F,MATCH($B12,스킬!$B:$B,0)),"")</f>
        <v>1.2</v>
      </c>
      <c r="F12" s="23" t="n">
        <f aca="false">IFERROR(INDEX(스킬!$J:$J,MATCH($B12,스킬!$B:$B,0)),"")</f>
        <v>168</v>
      </c>
      <c r="G12" s="27" t="str">
        <f aca="false">IF($A12&lt;=4,"손패","대기열")</f>
        <v>대기열</v>
      </c>
      <c r="H12" s="23" t="n">
        <f aca="false">IF($A12&lt;=4,0,SUM($D$5:INDEX($D$5:$D$12,$A12-4)))</f>
        <v>14</v>
      </c>
      <c r="I12" s="22" t="n">
        <f aca="false">IFERROR(H12/범례!$C$23,"")</f>
        <v>17.5</v>
      </c>
      <c r="J12" s="22" t="n">
        <f aca="false">IF($A12&lt;=4,0,SUM($E$5:INDEX($E$5:$E$12,$A12-4)))</f>
        <v>1.6</v>
      </c>
      <c r="K12" s="22" t="str">
        <f aca="false">IF(OR(C12="차단",C12="방어"),I12,"")</f>
        <v/>
      </c>
      <c r="L12" s="22" t="str">
        <f aca="false">IF(OR(C12="차단",C12="방어"),J12,"")</f>
        <v/>
      </c>
    </row>
    <row r="15" customFormat="false" ht="15" hidden="false" customHeight="false" outlineLevel="0" collapsed="false">
      <c r="A15" s="3" t="s">
        <v>148</v>
      </c>
    </row>
    <row r="16" customFormat="false" ht="29.85" hidden="false" customHeight="false" outlineLevel="0" collapsed="false">
      <c r="A16" s="10" t="s">
        <v>149</v>
      </c>
      <c r="B16" s="23" t="n">
        <f aca="false">SUM(D5:D12)</f>
        <v>37</v>
      </c>
      <c r="D16" s="25"/>
    </row>
    <row r="17" customFormat="false" ht="90.25" hidden="false" customHeight="false" outlineLevel="0" collapsed="false">
      <c r="A17" s="12" t="s">
        <v>150</v>
      </c>
      <c r="B17" s="22" t="n">
        <f aca="false">IFERROR(B16/범례!$C$23,"")</f>
        <v>46.25</v>
      </c>
      <c r="D17" s="25" t="s">
        <v>151</v>
      </c>
    </row>
    <row r="18" customFormat="false" ht="90.25" hidden="false" customHeight="false" outlineLevel="0" collapsed="false">
      <c r="A18" s="10" t="s">
        <v>152</v>
      </c>
      <c r="B18" s="22" t="n">
        <f aca="false">SUM(E5:E12)</f>
        <v>5.2</v>
      </c>
      <c r="D18" s="26" t="s">
        <v>153</v>
      </c>
    </row>
    <row r="19" customFormat="false" ht="58.2" hidden="false" customHeight="false" outlineLevel="0" collapsed="false">
      <c r="A19" s="10" t="s">
        <v>154</v>
      </c>
      <c r="B19" s="23" t="n">
        <f aca="false">SUM(F5:F12)</f>
        <v>756</v>
      </c>
      <c r="D19" s="25"/>
    </row>
    <row r="20" customFormat="false" ht="44" hidden="false" customHeight="false" outlineLevel="0" collapsed="false">
      <c r="A20" s="10" t="s">
        <v>155</v>
      </c>
      <c r="B20" s="22" t="n">
        <f aca="false">IFERROR(B19/B17,"")</f>
        <v>16.3459459459459</v>
      </c>
      <c r="D20" s="25" t="s">
        <v>156</v>
      </c>
    </row>
    <row r="21" customFormat="false" ht="86.55" hidden="false" customHeight="false" outlineLevel="0" collapsed="false">
      <c r="A21" s="10" t="s">
        <v>157</v>
      </c>
      <c r="B21" s="19" t="n">
        <f aca="false">IFERROR(범례!$C$27/B17,"")</f>
        <v>0.972972972972973</v>
      </c>
      <c r="D21" s="25" t="s">
        <v>158</v>
      </c>
    </row>
    <row r="22" customFormat="false" ht="72.35" hidden="false" customHeight="false" outlineLevel="0" collapsed="false">
      <c r="A22" s="10" t="s">
        <v>159</v>
      </c>
      <c r="B22" s="23" t="n">
        <f aca="false">COUNTIF(C5:C12,"차단")+COUNTIF(C5:C12,"방어")</f>
        <v>2</v>
      </c>
      <c r="D22" s="25" t="s">
        <v>160</v>
      </c>
    </row>
    <row r="23" customFormat="false" ht="77.6" hidden="false" customHeight="false" outlineLevel="0" collapsed="false">
      <c r="A23" s="10" t="s">
        <v>161</v>
      </c>
      <c r="B23" s="22" t="n">
        <f aca="false">IFERROR(MAX(K5:K12),"")</f>
        <v>0</v>
      </c>
      <c r="D23" s="25" t="s">
        <v>162</v>
      </c>
    </row>
    <row r="24" customFormat="false" ht="86.55" hidden="false" customHeight="false" outlineLevel="0" collapsed="false">
      <c r="A24" s="10" t="s">
        <v>163</v>
      </c>
      <c r="B24" s="22" t="n">
        <f aca="false">IFERROR(MAX(L5:L12),"")</f>
        <v>0</v>
      </c>
      <c r="D24" s="25" t="s">
        <v>164</v>
      </c>
    </row>
    <row r="28" customFormat="false" ht="15" hidden="false" customHeight="false" outlineLevel="0" collapsed="false">
      <c r="A28" s="3" t="s">
        <v>165</v>
      </c>
    </row>
    <row r="29" customFormat="false" ht="141" hidden="false" customHeight="false" outlineLevel="0" collapsed="false">
      <c r="A29" s="25" t="s">
        <v>166</v>
      </c>
    </row>
    <row r="30" customFormat="false" ht="115.65" hidden="false" customHeight="false" outlineLevel="0" collapsed="false">
      <c r="A30" s="25" t="s">
        <v>167</v>
      </c>
    </row>
    <row r="31" customFormat="false" ht="166.4" hidden="false" customHeight="false" outlineLevel="0" collapsed="false">
      <c r="A31" s="25" t="s">
        <v>168</v>
      </c>
    </row>
    <row r="32" customFormat="false" ht="166.4" hidden="false" customHeight="false" outlineLevel="0" collapsed="false">
      <c r="A32" s="25" t="s">
        <v>169</v>
      </c>
    </row>
    <row r="33" customFormat="false" ht="153.7" hidden="false" customHeight="false" outlineLevel="0" collapsed="false">
      <c r="A33" s="25" t="s">
        <v>170</v>
      </c>
    </row>
    <row r="34" customFormat="false" ht="166.4" hidden="false" customHeight="false" outlineLevel="0" collapsed="false">
      <c r="A34" s="25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44"/>
  </cols>
  <sheetData>
    <row r="1" customFormat="false" ht="16.15" hidden="false" customHeight="false" outlineLevel="0" collapsed="false">
      <c r="A1" s="15" t="s">
        <v>172</v>
      </c>
    </row>
    <row r="2" customFormat="false" ht="15" hidden="false" customHeight="false" outlineLevel="0" collapsed="false">
      <c r="A2" s="21" t="s">
        <v>173</v>
      </c>
    </row>
    <row r="4" customFormat="false" ht="31.5" hidden="false" customHeight="true" outlineLevel="0" collapsed="false">
      <c r="A4" s="8" t="s">
        <v>57</v>
      </c>
      <c r="B4" s="8" t="s">
        <v>174</v>
      </c>
      <c r="C4" s="16" t="s">
        <v>58</v>
      </c>
      <c r="D4" s="8" t="s">
        <v>75</v>
      </c>
      <c r="E4" s="8" t="s">
        <v>59</v>
      </c>
      <c r="F4" s="8" t="s">
        <v>175</v>
      </c>
      <c r="G4" s="8" t="s">
        <v>73</v>
      </c>
      <c r="H4" s="8" t="s">
        <v>176</v>
      </c>
      <c r="I4" s="8" t="s">
        <v>177</v>
      </c>
      <c r="J4" s="8" t="s">
        <v>178</v>
      </c>
    </row>
    <row r="5" customFormat="false" ht="15" hidden="false" customHeight="false" outlineLevel="0" collapsed="false">
      <c r="A5" s="17" t="s">
        <v>179</v>
      </c>
      <c r="B5" s="17" t="s">
        <v>180</v>
      </c>
      <c r="C5" s="17" t="n">
        <v>300</v>
      </c>
      <c r="D5" s="17" t="n">
        <v>30</v>
      </c>
      <c r="E5" s="17" t="n">
        <v>0</v>
      </c>
      <c r="F5" s="13" t="n">
        <f aca="false">IF(E5="","",E5/(E5+범례!$C$20))</f>
        <v>0</v>
      </c>
      <c r="G5" s="17" t="n">
        <v>2.5</v>
      </c>
      <c r="H5" s="11" t="s">
        <v>181</v>
      </c>
      <c r="I5" s="22" t="n">
        <f aca="false">IFERROR(C5/덱시뮬!$B$20,"")</f>
        <v>18.3531746031746</v>
      </c>
      <c r="J5" s="20" t="s">
        <v>182</v>
      </c>
    </row>
    <row r="6" customFormat="false" ht="15" hidden="false" customHeight="false" outlineLevel="0" collapsed="false">
      <c r="A6" s="17" t="s">
        <v>183</v>
      </c>
      <c r="B6" s="17" t="s">
        <v>184</v>
      </c>
      <c r="C6" s="17" t="n">
        <v>300</v>
      </c>
      <c r="D6" s="17" t="n">
        <v>40</v>
      </c>
      <c r="E6" s="17" t="n">
        <v>0</v>
      </c>
      <c r="F6" s="13" t="n">
        <f aca="false">IF(E6="","",E6/(E6+범례!$C$20))</f>
        <v>0</v>
      </c>
      <c r="G6" s="17" t="n">
        <v>3</v>
      </c>
      <c r="H6" s="17" t="s">
        <v>185</v>
      </c>
      <c r="I6" s="22" t="n">
        <f aca="false">IFERROR(C6/덱시뮬!$B$20,"")</f>
        <v>18.3531746031746</v>
      </c>
      <c r="J6" s="20" t="s">
        <v>186</v>
      </c>
    </row>
    <row r="7" customFormat="false" ht="15" hidden="false" customHeight="false" outlineLevel="0" collapsed="false">
      <c r="A7" s="17" t="s">
        <v>187</v>
      </c>
      <c r="B7" s="17" t="s">
        <v>188</v>
      </c>
      <c r="C7" s="17" t="n">
        <v>300</v>
      </c>
      <c r="D7" s="17" t="n">
        <v>150</v>
      </c>
      <c r="E7" s="17" t="n">
        <v>0</v>
      </c>
      <c r="F7" s="13" t="n">
        <f aca="false">IF(E7="","",E7/(E7+범례!$C$20))</f>
        <v>0</v>
      </c>
      <c r="G7" s="17" t="n">
        <v>4</v>
      </c>
      <c r="H7" s="17" t="s">
        <v>189</v>
      </c>
      <c r="I7" s="22" t="n">
        <f aca="false">IFERROR(C7/덱시뮬!$B$20,"")</f>
        <v>18.3531746031746</v>
      </c>
      <c r="J7" s="20" t="s">
        <v>190</v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13" t="str">
        <f aca="false">IF(E8="","",E8/(E8+범례!$C$20))</f>
        <v/>
      </c>
      <c r="G8" s="17"/>
      <c r="H8" s="17"/>
      <c r="I8" s="22" t="n">
        <f aca="false">IFERROR(C8/덱시뮬!$B$20,"")</f>
        <v>0</v>
      </c>
      <c r="J8" s="20"/>
    </row>
    <row r="9" customFormat="false" ht="15" hidden="false" customHeight="false" outlineLevel="0" collapsed="false">
      <c r="A9" s="17"/>
      <c r="B9" s="17"/>
      <c r="C9" s="17"/>
      <c r="D9" s="17"/>
      <c r="E9" s="17"/>
      <c r="F9" s="13" t="str">
        <f aca="false">IF(E9="","",E9/(E9+범례!$C$20))</f>
        <v/>
      </c>
      <c r="G9" s="17"/>
      <c r="H9" s="17"/>
      <c r="I9" s="22" t="n">
        <f aca="false">IFERROR(C9/덱시뮬!$B$20,"")</f>
        <v>0</v>
      </c>
      <c r="J9" s="20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3" t="str">
        <f aca="false">IF(E10="","",E10/(E10+범례!$C$20))</f>
        <v/>
      </c>
      <c r="G10" s="17"/>
      <c r="H10" s="17"/>
      <c r="I10" s="22" t="n">
        <f aca="false">IFERROR(C10/덱시뮬!$B$20,"")</f>
        <v>0</v>
      </c>
      <c r="J10" s="20"/>
    </row>
    <row r="13" customFormat="false" ht="15" hidden="false" customHeight="false" outlineLevel="0" collapsed="false">
      <c r="A13" s="28" t="s">
        <v>191</v>
      </c>
    </row>
    <row r="14" customFormat="false" ht="15" hidden="false" customHeight="false" outlineLevel="0" collapsed="false">
      <c r="A14" s="2" t="s">
        <v>192</v>
      </c>
    </row>
    <row r="15" customFormat="false" ht="15" hidden="false" customHeight="false" outlineLevel="0" collapsed="false">
      <c r="A15" s="14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0.1" hidden="false" customHeight="false" outlineLevel="0" collapsed="false">
      <c r="A1" s="15" t="s">
        <v>194</v>
      </c>
    </row>
    <row r="2" customFormat="false" ht="15" hidden="false" customHeight="false" outlineLevel="0" collapsed="false">
      <c r="A2" s="21" t="s">
        <v>195</v>
      </c>
    </row>
    <row r="4" customFormat="false" ht="31.5" hidden="false" customHeight="true" outlineLevel="0" collapsed="false">
      <c r="A4" s="8" t="s">
        <v>196</v>
      </c>
      <c r="B4" s="8" t="s">
        <v>197</v>
      </c>
      <c r="C4" s="8" t="s">
        <v>198</v>
      </c>
      <c r="D4" s="8" t="s">
        <v>199</v>
      </c>
      <c r="E4" s="8" t="s">
        <v>200</v>
      </c>
      <c r="F4" s="8" t="s">
        <v>201</v>
      </c>
      <c r="G4" s="8" t="s">
        <v>202</v>
      </c>
      <c r="H4" s="8" t="s">
        <v>203</v>
      </c>
    </row>
    <row r="5" customFormat="false" ht="15" hidden="false" customHeight="false" outlineLevel="0" collapsed="false">
      <c r="A5" s="27" t="n">
        <v>1</v>
      </c>
      <c r="B5" s="20"/>
      <c r="C5" s="17"/>
      <c r="D5" s="17"/>
      <c r="E5" s="23" t="str">
        <f aca="false">IF(C5="","",IF(A5=1,직업!$B$5-C5,E4-C5))</f>
        <v/>
      </c>
      <c r="F5" s="23" t="str">
        <f aca="false">IF(D5="","",IF(A5=1,직업!$B$5-D5,F4-D5))</f>
        <v/>
      </c>
      <c r="G5" s="27" t="str">
        <f aca="false">IF(F5="","",IF(F5&lt;=0,"사망",IF(F5&lt;100,"위험","안전")))</f>
        <v/>
      </c>
      <c r="H5" s="20"/>
    </row>
    <row r="6" customFormat="false" ht="15" hidden="false" customHeight="false" outlineLevel="0" collapsed="false">
      <c r="A6" s="27" t="n">
        <v>2</v>
      </c>
      <c r="B6" s="20"/>
      <c r="C6" s="17"/>
      <c r="D6" s="17"/>
      <c r="E6" s="23" t="str">
        <f aca="false">IF(C6="","",IF(A6=1,직업!$B$5-C6,E5-C6))</f>
        <v/>
      </c>
      <c r="F6" s="23" t="str">
        <f aca="false">IF(D6="","",IF(A6=1,직업!$B$5-D6,F5-D6))</f>
        <v/>
      </c>
      <c r="G6" s="27" t="str">
        <f aca="false">IF(F6="","",IF(F6&lt;=0,"사망",IF(F6&lt;100,"위험","안전")))</f>
        <v/>
      </c>
      <c r="H6" s="20"/>
    </row>
    <row r="7" customFormat="false" ht="15" hidden="false" customHeight="false" outlineLevel="0" collapsed="false">
      <c r="A7" s="27" t="n">
        <v>3</v>
      </c>
      <c r="B7" s="20"/>
      <c r="C7" s="17"/>
      <c r="D7" s="17"/>
      <c r="E7" s="23" t="str">
        <f aca="false">IF(C7="","",IF(A7=1,직업!$B$5-C7,E6-C7))</f>
        <v/>
      </c>
      <c r="F7" s="23" t="str">
        <f aca="false">IF(D7="","",IF(A7=1,직업!$B$5-D7,F6-D7))</f>
        <v/>
      </c>
      <c r="G7" s="27" t="str">
        <f aca="false">IF(F7="","",IF(F7&lt;=0,"사망",IF(F7&lt;100,"위험","안전")))</f>
        <v/>
      </c>
      <c r="H7" s="20"/>
    </row>
    <row r="8" customFormat="false" ht="15" hidden="false" customHeight="false" outlineLevel="0" collapsed="false">
      <c r="A8" s="27" t="n">
        <v>4</v>
      </c>
      <c r="B8" s="20"/>
      <c r="C8" s="17"/>
      <c r="D8" s="17"/>
      <c r="E8" s="23" t="str">
        <f aca="false">IF(C8="","",IF(A8=1,직업!$B$5-C8,E7-C8))</f>
        <v/>
      </c>
      <c r="F8" s="23" t="str">
        <f aca="false">IF(D8="","",IF(A8=1,직업!$B$5-D8,F7-D8))</f>
        <v/>
      </c>
      <c r="G8" s="27" t="str">
        <f aca="false">IF(F8="","",IF(F8&lt;=0,"사망",IF(F8&lt;100,"위험","안전")))</f>
        <v/>
      </c>
      <c r="H8" s="20"/>
    </row>
    <row r="9" customFormat="false" ht="15" hidden="false" customHeight="false" outlineLevel="0" collapsed="false">
      <c r="A9" s="27" t="n">
        <v>5</v>
      </c>
      <c r="B9" s="20"/>
      <c r="C9" s="17"/>
      <c r="D9" s="17"/>
      <c r="E9" s="23" t="str">
        <f aca="false">IF(C9="","",IF(A9=1,직업!$B$5-C9,E8-C9))</f>
        <v/>
      </c>
      <c r="F9" s="23" t="str">
        <f aca="false">IF(D9="","",IF(A9=1,직업!$B$5-D9,F8-D9))</f>
        <v/>
      </c>
      <c r="G9" s="27" t="str">
        <f aca="false">IF(F9="","",IF(F9&lt;=0,"사망",IF(F9&lt;100,"위험","안전")))</f>
        <v/>
      </c>
      <c r="H9" s="20"/>
    </row>
    <row r="12" customFormat="false" ht="15" hidden="false" customHeight="false" outlineLevel="0" collapsed="false">
      <c r="A12" s="3" t="s">
        <v>148</v>
      </c>
    </row>
    <row r="13" customFormat="false" ht="44" hidden="false" customHeight="false" outlineLevel="0" collapsed="false">
      <c r="A13" s="10" t="s">
        <v>204</v>
      </c>
      <c r="B13" s="23" t="n">
        <f aca="false">IFERROR(SUM(C5:C9),"")</f>
        <v>0</v>
      </c>
      <c r="D13" s="25"/>
    </row>
    <row r="14" customFormat="false" ht="44" hidden="false" customHeight="false" outlineLevel="0" collapsed="false">
      <c r="A14" s="10" t="s">
        <v>205</v>
      </c>
      <c r="B14" s="23" t="n">
        <f aca="false">IFERROR(SUM(D5:D9),"")</f>
        <v>0</v>
      </c>
      <c r="D14" s="25"/>
    </row>
    <row r="15" customFormat="false" ht="29.85" hidden="false" customHeight="false" outlineLevel="0" collapsed="false">
      <c r="A15" s="10" t="s">
        <v>206</v>
      </c>
      <c r="B15" s="23" t="n">
        <f aca="false">IFERROR(직업!$B$5*0.5*범례!$C$29,"")</f>
        <v>750</v>
      </c>
      <c r="D15" s="25" t="s">
        <v>207</v>
      </c>
    </row>
    <row r="16" customFormat="false" ht="29.85" hidden="false" customHeight="false" outlineLevel="0" collapsed="false">
      <c r="A16" s="10" t="s">
        <v>208</v>
      </c>
      <c r="B16" s="23" t="n">
        <f aca="false">IFERROR(직업!$B$5+B15,"")</f>
        <v>1250</v>
      </c>
      <c r="D16" s="25" t="s">
        <v>209</v>
      </c>
    </row>
    <row r="17" customFormat="false" ht="29.85" hidden="false" customHeight="false" outlineLevel="0" collapsed="false">
      <c r="A17" s="10" t="s">
        <v>210</v>
      </c>
      <c r="B17" s="23" t="n">
        <f aca="false">IFERROR(B16-B13,"")</f>
        <v>1250</v>
      </c>
      <c r="D17" s="25" t="s">
        <v>211</v>
      </c>
    </row>
    <row r="18" customFormat="false" ht="39.55" hidden="false" customHeight="false" outlineLevel="0" collapsed="false">
      <c r="A18" s="10" t="s">
        <v>212</v>
      </c>
      <c r="B18" s="23" t="n">
        <f aca="false">IFERROR(B16-B14,"")</f>
        <v>1250</v>
      </c>
      <c r="D18" s="25" t="s">
        <v>213</v>
      </c>
    </row>
    <row r="19" customFormat="false" ht="44" hidden="false" customHeight="false" outlineLevel="0" collapsed="false">
      <c r="A19" s="10" t="s">
        <v>214</v>
      </c>
      <c r="B19" s="23" t="n">
        <f aca="false">IFERROR(B14-B13,"")</f>
        <v>0</v>
      </c>
      <c r="D19" s="25" t="s">
        <v>215</v>
      </c>
    </row>
    <row r="22" customFormat="false" ht="15" hidden="false" customHeight="false" outlineLevel="0" collapsed="false">
      <c r="A22" s="3" t="s">
        <v>216</v>
      </c>
    </row>
    <row r="23" customFormat="false" ht="115.65" hidden="false" customHeight="false" outlineLevel="0" collapsed="false">
      <c r="A23" s="25" t="s">
        <v>217</v>
      </c>
    </row>
    <row r="24" customFormat="false" ht="153.7" hidden="false" customHeight="false" outlineLevel="0" collapsed="false">
      <c r="A24" s="26" t="s">
        <v>218</v>
      </c>
    </row>
    <row r="25" customFormat="false" ht="151.45" hidden="false" customHeight="false" outlineLevel="0" collapsed="false">
      <c r="A25" s="26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50"/>
  </cols>
  <sheetData>
    <row r="1" customFormat="false" ht="16.15" hidden="false" customHeight="false" outlineLevel="0" collapsed="false">
      <c r="A1" s="15" t="s">
        <v>220</v>
      </c>
    </row>
    <row r="2" customFormat="false" ht="15" hidden="false" customHeight="false" outlineLevel="0" collapsed="false">
      <c r="A2" s="21" t="s">
        <v>221</v>
      </c>
    </row>
    <row r="4" customFormat="false" ht="31.5" hidden="false" customHeight="true" outlineLevel="0" collapsed="false">
      <c r="A4" s="8" t="s">
        <v>222</v>
      </c>
      <c r="B4" s="8" t="s">
        <v>197</v>
      </c>
      <c r="C4" s="8" t="s">
        <v>223</v>
      </c>
      <c r="D4" s="8" t="s">
        <v>224</v>
      </c>
      <c r="E4" s="8" t="s">
        <v>225</v>
      </c>
      <c r="F4" s="8" t="s">
        <v>226</v>
      </c>
      <c r="G4" s="8" t="s">
        <v>227</v>
      </c>
      <c r="H4" s="8" t="s">
        <v>228</v>
      </c>
    </row>
    <row r="5" customFormat="false" ht="15" hidden="false" customHeight="false" outlineLevel="0" collapsed="false">
      <c r="A5" s="29" t="n">
        <v>1</v>
      </c>
      <c r="B5" s="30" t="s">
        <v>229</v>
      </c>
      <c r="C5" s="29" t="n">
        <v>40</v>
      </c>
      <c r="D5" s="29" t="n">
        <v>58</v>
      </c>
      <c r="E5" s="31" t="n">
        <f aca="false">IF(OR(C5="",D5=""),"",D5-C5)</f>
        <v>18</v>
      </c>
      <c r="F5" s="32" t="n">
        <f aca="false">IF(OR(C5="",D5="",C5=0),"",(D5-C5)/C5)</f>
        <v>0.45</v>
      </c>
      <c r="G5" s="33" t="s">
        <v>230</v>
      </c>
      <c r="H5" s="33" t="s">
        <v>231</v>
      </c>
    </row>
    <row r="6" customFormat="false" ht="15" hidden="false" customHeight="false" outlineLevel="0" collapsed="false">
      <c r="A6" s="17"/>
      <c r="B6" s="20"/>
      <c r="C6" s="17"/>
      <c r="D6" s="17"/>
      <c r="E6" s="23" t="str">
        <f aca="false">IF(OR(C6="",D6=""),"",D6-C6)</f>
        <v/>
      </c>
      <c r="F6" s="13" t="str">
        <f aca="false">IF(OR(C6="",D6="",C6=0),"",(D6-C6)/C6)</f>
        <v/>
      </c>
      <c r="G6" s="20"/>
      <c r="H6" s="20"/>
    </row>
    <row r="7" customFormat="false" ht="15" hidden="false" customHeight="false" outlineLevel="0" collapsed="false">
      <c r="A7" s="17"/>
      <c r="B7" s="20"/>
      <c r="C7" s="17"/>
      <c r="D7" s="17"/>
      <c r="E7" s="23" t="str">
        <f aca="false">IF(OR(C7="",D7=""),"",D7-C7)</f>
        <v/>
      </c>
      <c r="F7" s="13" t="str">
        <f aca="false">IF(OR(C7="",D7="",C7=0),"",(D7-C7)/C7)</f>
        <v/>
      </c>
      <c r="G7" s="20"/>
      <c r="H7" s="20"/>
    </row>
    <row r="8" customFormat="false" ht="15" hidden="false" customHeight="false" outlineLevel="0" collapsed="false">
      <c r="A8" s="17"/>
      <c r="B8" s="20"/>
      <c r="C8" s="17"/>
      <c r="D8" s="17"/>
      <c r="E8" s="23" t="str">
        <f aca="false">IF(OR(C8="",D8=""),"",D8-C8)</f>
        <v/>
      </c>
      <c r="F8" s="13" t="str">
        <f aca="false">IF(OR(C8="",D8="",C8=0),"",(D8-C8)/C8)</f>
        <v/>
      </c>
      <c r="G8" s="20"/>
      <c r="H8" s="20"/>
    </row>
    <row r="9" customFormat="false" ht="15" hidden="false" customHeight="false" outlineLevel="0" collapsed="false">
      <c r="A9" s="17"/>
      <c r="B9" s="20"/>
      <c r="C9" s="17"/>
      <c r="D9" s="17"/>
      <c r="E9" s="23" t="str">
        <f aca="false">IF(OR(C9="",D9=""),"",D9-C9)</f>
        <v/>
      </c>
      <c r="F9" s="13" t="str">
        <f aca="false">IF(OR(C9="",D9="",C9=0),"",(D9-C9)/C9)</f>
        <v/>
      </c>
      <c r="G9" s="20"/>
      <c r="H9" s="20"/>
    </row>
    <row r="10" customFormat="false" ht="15" hidden="false" customHeight="false" outlineLevel="0" collapsed="false">
      <c r="A10" s="17"/>
      <c r="B10" s="20"/>
      <c r="C10" s="17"/>
      <c r="D10" s="17"/>
      <c r="E10" s="23" t="str">
        <f aca="false">IF(OR(C10="",D10=""),"",D10-C10)</f>
        <v/>
      </c>
      <c r="F10" s="13" t="str">
        <f aca="false">IF(OR(C10="",D10="",C10=0),"",(D10-C10)/C10)</f>
        <v/>
      </c>
      <c r="G10" s="20"/>
      <c r="H10" s="20"/>
    </row>
    <row r="11" customFormat="false" ht="15" hidden="false" customHeight="false" outlineLevel="0" collapsed="false">
      <c r="A11" s="17"/>
      <c r="B11" s="20"/>
      <c r="C11" s="17"/>
      <c r="D11" s="17"/>
      <c r="E11" s="23" t="str">
        <f aca="false">IF(OR(C11="",D11=""),"",D11-C11)</f>
        <v/>
      </c>
      <c r="F11" s="13" t="str">
        <f aca="false">IF(OR(C11="",D11="",C11=0),"",(D11-C11)/C11)</f>
        <v/>
      </c>
      <c r="G11" s="20"/>
      <c r="H11" s="20"/>
    </row>
    <row r="14" customFormat="false" ht="39.55" hidden="false" customHeight="false" outlineLevel="0" collapsed="false">
      <c r="A14" s="3" t="s">
        <v>232</v>
      </c>
      <c r="C14" s="27" t="n">
        <f aca="false">IFERROR(SUM(C6:C11),"")</f>
        <v>0</v>
      </c>
      <c r="E14" s="25" t="s">
        <v>233</v>
      </c>
    </row>
    <row r="15" customFormat="false" ht="15" hidden="false" customHeight="false" outlineLevel="0" collapsed="false">
      <c r="A15" s="3" t="s">
        <v>234</v>
      </c>
      <c r="C15" s="27" t="n">
        <f aca="false">IFERROR(SUM(D6:D11),"")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2026-09-15T08:28:34Z</dcterms:created>
  <dc:creator>openpyxl</dc:creator>
  <dc:description/>
  <dc:language>en-US</dc:language>
  <cp:lastModifiedBy/>
  <dcterms:modified xsi:type="dcterms:W3CDTF">2026-09-15T08:28:35Z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