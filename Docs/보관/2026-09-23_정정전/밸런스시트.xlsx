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2ab69b9e6447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범례" sheetId="1" r:id="R4c729fbfa5454cda"/>
    <x:sheet xmlns:r="http://schemas.openxmlformats.org/officeDocument/2006/relationships" name="직업" sheetId="2" r:id="R623dcf9085d1448a"/>
    <x:sheet xmlns:r="http://schemas.openxmlformats.org/officeDocument/2006/relationships" name="스킬" sheetId="3" r:id="Rb402684eb8164c64"/>
    <x:sheet xmlns:r="http://schemas.openxmlformats.org/officeDocument/2006/relationships" name="덱시뮬" sheetId="4" r:id="R3cd2c215fdc44952"/>
    <x:sheet xmlns:r="http://schemas.openxmlformats.org/officeDocument/2006/relationships" name="적" sheetId="5" r:id="R99ac07ec9c814d27"/>
    <x:sheet xmlns:r="http://schemas.openxmlformats.org/officeDocument/2006/relationships" name="HP예산" sheetId="6" r:id="R30e7dee9b89d498d"/>
    <x:sheet xmlns:r="http://schemas.openxmlformats.org/officeDocument/2006/relationships" name="인카운터" sheetId="7" r:id="R7684ec5e80244a16"/>
  </x:sheets>
</x:workbook>
</file>

<file path=xl/sharedStrings.xml><?xml version="1.0" encoding="utf-8"?>
<x:sst xmlns:x="http://schemas.openxmlformats.org/spreadsheetml/2006/main">
  <x:si>
    <x:r>
      <x:rPr>
        <x:b/>
        <x:sz val="13"/>
        <x:rFont val="Arial"/>
      </x:rPr>
      <x:t xml:space="preserve">Scroll Hunter — </x:t>
    </x:r>
    <x:r>
      <x:rPr>
        <x:b/>
        <x:sz val="13"/>
        <x:rFont val="Noto Sans CJK SC"/>
        <x:family val="2"/>
      </x:rPr>
      <x:t xml:space="preserve">밸런스 시트</x:t>
    </x:r>
  </x:si>
  <x:si>
    <x:r>
      <x:rPr>
        <x:i/>
        <x:sz val="9"/>
        <x:color rgb="FF808080"/>
        <x:rFont val="Noto Sans CJK SC"/>
        <x:family val="2"/>
      </x:rPr>
      <x:t xml:space="preserve">노란 칸만 입력하세요</x:t>
    </x:r>
    <x:r>
      <x:rPr>
        <x:i/>
        <x:sz val="9"/>
        <x:color rgb="FF808080"/>
        <x:rFont val="Arial"/>
      </x:rPr>
      <x:t xml:space="preserve">. </x:t>
    </x:r>
    <x:r>
      <x:rPr>
        <x:i/>
        <x:sz val="9"/>
        <x:color rgb="FF808080"/>
        <x:rFont val="Noto Sans CJK SC"/>
        <x:family val="2"/>
      </x:rPr>
      <x:t xml:space="preserve">검은 글자는 수식입니다</x:t>
    </x:r>
    <x:r>
      <x:rPr>
        <x:i/>
        <x:sz val="9"/>
        <x:color rgb="FF808080"/>
        <x:rFont val="Arial"/>
      </x:rPr>
      <x:t xml:space="preserve">.</x:t>
    </x:r>
  </x:si>
  <x:si>
    <x:t xml:space="preserve">색 규칙</x:t>
  </x:si>
  <x:si>
    <x:r>
      <x:rPr>
        <x:sz val="10"/>
        <x:color rgb="FF0000FF"/>
        <x:rFont val="Noto Sans CJK SC"/>
        <x:family val="2"/>
      </x:rPr>
      <x:t xml:space="preserve">노란 칸 </x:t>
    </x:r>
    <x:r>
      <x:rPr>
        <x:sz val="10"/>
        <x:color rgb="FF0000FF"/>
        <x:rFont val="Arial"/>
      </x:rPr>
      <x:t xml:space="preserve">+ </x:t>
    </x:r>
    <x:r>
      <x:rPr>
        <x:sz val="10"/>
        <x:color rgb="FF0000FF"/>
        <x:rFont val="Noto Sans CJK SC"/>
        <x:family val="2"/>
      </x:rPr>
      <x:t xml:space="preserve">파란 글자</x:t>
    </x:r>
  </x:si>
  <x:si>
    <x:r>
      <x:rPr>
        <x:sz val="10"/>
        <x:rFont val="Noto Sans CJK SC"/>
        <x:family val="2"/>
      </x:rPr>
      <x:t xml:space="preserve">직접 입력</x:t>
    </x:r>
    <x:r>
      <x:rPr>
        <x:sz val="10"/>
        <x:rFont val="Arial"/>
      </x:rPr>
      <x:t xml:space="preserve">. </x:t>
    </x:r>
    <x:r>
      <x:rPr>
        <x:sz val="10"/>
        <x:rFont val="Noto Sans CJK SC"/>
        <x:family val="2"/>
      </x:rPr>
      <x:t xml:space="preserve">여기만 수정하세요</x:t>
    </x:r>
    <x:r>
      <x:rPr>
        <x:sz val="10"/>
        <x:rFont val="Arial"/>
      </x:rPr>
      <x:t xml:space="preserve">.</x:t>
    </x:r>
  </x:si>
  <x:si>
    <x:t xml:space="preserve">검은 글자</x:t>
  </x:si>
  <x:si>
    <x:r>
      <x:rPr>
        <x:sz val="10"/>
        <x:rFont val="Noto Sans CJK SC"/>
        <x:family val="2"/>
      </x:rPr>
      <x:t xml:space="preserve">수식</x:t>
    </x:r>
    <x:r>
      <x:rPr>
        <x:sz val="10"/>
        <x:rFont val="Arial"/>
      </x:rPr>
      <x:t xml:space="preserve">. </x:t>
    </x:r>
    <x:r>
      <x:rPr>
        <x:sz val="10"/>
        <x:rFont val="Noto Sans CJK SC"/>
        <x:family val="2"/>
      </x:rPr>
      <x:t xml:space="preserve">건드리지 마세요</x:t>
    </x:r>
    <x:r>
      <x:rPr>
        <x:sz val="10"/>
        <x:rFont val="Arial"/>
      </x:rPr>
      <x:t xml:space="preserve">.</x:t>
    </x:r>
  </x:si>
  <x:si>
    <x:t xml:space="preserve">회색 이탤릭 행</x:t>
  </x:si>
  <x:si>
    <x:r>
      <x:rPr>
        <x:sz val="10"/>
        <x:rFont val="Noto Sans CJK SC"/>
        <x:family val="2"/>
      </x:rPr>
      <x:t xml:space="preserve">형식 참고용 예시</x:t>
    </x:r>
    <x:r>
      <x:rPr>
        <x:sz val="10"/>
        <x:rFont val="Arial"/>
      </x:rPr>
      <x:t xml:space="preserve">. </x:t>
    </x:r>
    <x:r>
      <x:rPr>
        <x:sz val="10"/>
        <x:rFont val="Noto Sans CJK SC"/>
        <x:family val="2"/>
      </x:rPr>
      <x:t xml:space="preserve">채운 뒤 삭제하세요</x:t>
    </x:r>
    <x:r>
      <x:rPr>
        <x:sz val="10"/>
        <x:rFont val="Arial"/>
      </x:rPr>
      <x:t xml:space="preserve">.</x:t>
    </x:r>
  </x:si>
  <x:si>
    <x:t xml:space="preserve">시트 구성</x:t>
  </x:si>
  <x:si>
    <x:t xml:space="preserve">직업</x:t>
  </x:si>
  <x:si>
    <x:r>
      <x:rPr>
        <x:sz val="10"/>
        <x:rFont val="Noto Sans CJK SC"/>
        <x:family val="2"/>
      </x:rPr>
      <x:t xml:space="preserve">구현 직업 </x:t>
    </x:r>
    <x:r>
      <x:rPr>
        <x:sz val="10"/>
        <x:rFont val="Arial"/>
      </x:rPr>
      <x:t xml:space="preserve">1</x:t>
    </x:r>
    <x:r>
      <x:rPr>
        <x:sz val="10"/>
        <x:rFont val="Noto Sans CJK SC"/>
        <x:family val="2"/>
      </x:rPr>
      <x:t xml:space="preserve">종의 기본 스펙</x:t>
    </x:r>
  </x:si>
  <x:si>
    <x:t xml:space="preserve">스킬</x:t>
  </x:si>
  <x:si>
    <x:r>
      <x:rPr>
        <x:sz val="10"/>
        <x:rFont val="Noto Sans CJK SC"/>
        <x:family val="2"/>
      </x:rPr>
      <x:t xml:space="preserve">스킬 풀 </x:t>
    </x:r>
    <x:r>
      <x:rPr>
        <x:sz val="10"/>
        <x:rFont val="Arial"/>
      </x:rPr>
      <x:t xml:space="preserve">14</x:t>
    </x:r>
    <x:r>
      <x:rPr>
        <x:sz val="10"/>
        <x:rFont val="Noto Sans CJK SC"/>
        <x:family val="2"/>
      </x:rPr>
      <x:t xml:space="preserve">종</x:t>
    </x:r>
    <x:r>
      <x:rPr>
        <x:sz val="10"/>
        <x:rFont val="Arial"/>
      </x:rPr>
      <x:t xml:space="preserve">. </x:t>
    </x:r>
    <x:r>
      <x:rPr>
        <x:sz val="10"/>
        <x:rFont val="Noto Sans CJK SC"/>
        <x:family val="2"/>
      </x:rPr>
      <x:t xml:space="preserve">코스트당 </x:t>
    </x:r>
    <x:r>
      <x:rPr>
        <x:sz val="10"/>
        <x:rFont val="Arial"/>
      </x:rPr>
      <x:t xml:space="preserve">/ </x:t>
    </x:r>
    <x:r>
      <x:rPr>
        <x:sz val="10"/>
        <x:rFont val="Noto Sans CJK SC"/>
        <x:family val="2"/>
      </x:rPr>
      <x:t xml:space="preserve">시간당 기대 피해가 자동 계산됨</x:t>
    </x:r>
  </x:si>
  <x:si>
    <x:t xml:space="preserve">덱시뮬</x:t>
  </x:si>
  <x:si>
    <x:r>
      <x:rPr>
        <x:sz val="10"/>
        <x:rFont val="Noto Sans CJK SC"/>
        <x:family val="2"/>
      </x:rPr>
      <x:t xml:space="preserve">덱 </x:t>
    </x:r>
    <x:r>
      <x:rPr>
        <x:sz val="10"/>
        <x:rFont val="Arial"/>
      </x:rPr>
      <x:t xml:space="preserve">8</x:t>
    </x:r>
    <x:r>
      <x:rPr>
        <x:sz val="10"/>
        <x:rFont val="Noto Sans CJK SC"/>
        <x:family val="2"/>
      </x:rPr>
      <x:t xml:space="preserve">장 시뮬레이션</x:t>
    </x:r>
    <x:r>
      <x:rPr>
        <x:sz val="10"/>
        <x:rFont val="Arial"/>
      </x:rPr>
      <x:t xml:space="preserve">. </x:t>
    </x:r>
    <x:r>
      <x:rPr>
        <x:sz val="10"/>
        <x:rFont val="Noto Sans CJK SC"/>
        <x:family val="2"/>
      </x:rPr>
      <x:t xml:space="preserve">코스트 병목과 행동 잠금 병목을 모두 계산 ★</x:t>
    </x:r>
  </x:si>
  <x:si>
    <x:t xml:space="preserve">적</x:t>
  </x:si>
  <x:si>
    <x:r>
      <x:rPr>
        <x:sz val="10"/>
        <x:rFont val="Noto Sans CJK SC"/>
        <x:family val="2"/>
      </x:rPr>
      <x:t xml:space="preserve">적 </x:t>
    </x:r>
    <x:r>
      <x:rPr>
        <x:sz val="10"/>
        <x:rFont val="Arial"/>
      </x:rPr>
      <x:t xml:space="preserve">4</x:t>
    </x:r>
    <x:r>
      <x:rPr>
        <x:sz val="10"/>
        <x:rFont val="Noto Sans CJK SC"/>
        <x:family val="2"/>
      </x:rPr>
      <x:t xml:space="preserve">종 </x:t>
    </x:r>
    <x:r>
      <x:rPr>
        <x:sz val="10"/>
        <x:rFont val="Arial"/>
      </x:rPr>
      <x:t xml:space="preserve">+ </x:t>
    </x:r>
    <x:r>
      <x:rPr>
        <x:sz val="10"/>
        <x:rFont val="Noto Sans CJK SC"/>
        <x:family val="2"/>
      </x:rPr>
      <x:t xml:space="preserve">보스</x:t>
    </x:r>
    <x:r>
      <x:rPr>
        <x:sz val="10"/>
        <x:rFont val="Arial"/>
      </x:rPr>
      <x:t xml:space="preserve">. </x:t>
    </x:r>
    <x:r>
      <x:rPr>
        <x:sz val="10"/>
        <x:rFont val="Noto Sans CJK SC"/>
        <x:family val="2"/>
      </x:rPr>
      <x:t xml:space="preserve">담당 색상별 스펙</x:t>
    </x:r>
  </x:si>
  <x:si>
    <x:t xml:space="preserve">인카운터</x:t>
  </x:si>
  <x:si>
    <x:r>
      <x:rPr>
        <x:sz val="10"/>
        <x:rFont val="Noto Sans CJK SC"/>
        <x:family val="2"/>
      </x:rPr>
      <x:t xml:space="preserve">전투 </x:t>
    </x:r>
    <x:r>
      <x:rPr>
        <x:sz val="10"/>
        <x:rFont val="Arial"/>
      </x:rPr>
      <x:t xml:space="preserve">5</x:t>
    </x:r>
    <x:r>
      <x:rPr>
        <x:sz val="10"/>
        <x:rFont val="Noto Sans CJK SC"/>
        <x:family val="2"/>
      </x:rPr>
      <x:t xml:space="preserve">회의 목표</x:t>
    </x:r>
    <x:r>
      <x:rPr>
        <x:sz val="10"/>
        <x:rFont val="Arial"/>
      </x:rPr>
      <x:t xml:space="preserve">/</x:t>
    </x:r>
    <x:r>
      <x:rPr>
        <x:sz val="10"/>
        <x:rFont val="Noto Sans CJK SC"/>
        <x:family val="2"/>
      </x:rPr>
      <x:t xml:space="preserve">실측 시간 </x:t>
    </x:r>
    <x:r>
      <x:rPr>
        <x:sz val="10"/>
        <x:rFont val="Arial"/>
      </x:rPr>
      <x:t xml:space="preserve">(18</x:t>
    </x:r>
    <x:r>
      <x:rPr>
        <x:sz val="10"/>
        <x:rFont val="Noto Sans CJK SC"/>
        <x:family val="2"/>
      </x:rPr>
      <x:t xml:space="preserve">일차 갱신</x:t>
    </x:r>
    <x:r>
      <x:rPr>
        <x:sz val="10"/>
        <x:rFont val="Arial"/>
      </x:rPr>
      <x:t xml:space="preserve">)</x:t>
    </x:r>
  </x:si>
  <x:si>
    <x:t xml:space="preserve">항목</x:t>
  </x:si>
  <x:si>
    <x:t xml:space="preserve">설명</x:t>
  </x:si>
  <x:si>
    <x:t xml:space="preserve">값</x:t>
  </x:si>
  <x:si>
    <x:r>
      <x:rPr>
        <x:b/>
        <x:sz val="1000"/>
        <x:color rgb="FFFFFFFF"/>
        <x:rFont val="Noto Sans CJK SC"/>
        <x:family val="2"/>
      </x:rPr>
      <x:t xml:space="preserve">근거 </x:t>
    </x:r>
    <x:r>
      <x:rPr>
        <x:b/>
        <x:sz val="1000"/>
        <x:color rgb="FFFFFFFF"/>
        <x:rFont val="Arial"/>
      </x:rPr>
      <x:t xml:space="preserve">/ </x:t>
    </x:r>
    <x:r>
      <x:rPr>
        <x:b/>
        <x:sz val="1000"/>
        <x:color rgb="FFFFFFFF"/>
        <x:rFont val="Noto Sans CJK SC"/>
        <x:family val="2"/>
      </x:rPr>
      <x:t xml:space="preserve">출처</x:t>
    </x:r>
  </x:si>
  <x:si>
    <x:t xml:space="preserve">크리티컬 배율</x:t>
  </x:si>
  <x:si>
    <x:t xml:space="preserve">크리티컬 발생 시 피해 배수</x:t>
  </x:si>
  <x:si>
    <x:r>
      <x:rPr>
        <x:sz val="1000"/>
        <x:color rgb="FF000000"/>
        <x:rFont val="Arial"/>
      </x:rPr>
      <x:t xml:space="preserve">[</x:t>
    </x:r>
    <x:r>
      <x:rPr>
        <x:sz val="1000"/>
        <x:color rgb="FF000000"/>
        <x:rFont val="Noto Sans CJK SC"/>
        <x:family val="2"/>
      </x:rPr>
      <x:t xml:space="preserve">근거를 적으세요</x:t>
    </x:r>
    <x:r>
      <x:rPr>
        <x:sz val="1000"/>
        <x:color rgb="FF000000"/>
        <x:rFont val="Arial"/>
      </x:rPr>
      <x:t xml:space="preserve">]</x:t>
    </x:r>
  </x:si>
  <x:si>
    <x:t xml:space="preserve">방어 상수</x:t>
  </x:si>
  <x:si>
    <x:r>
      <x:rPr>
        <x:sz val="1000"/>
        <x:color rgb="FF000000"/>
        <x:rFont val="Noto Sans CJK SC"/>
        <x:family val="2"/>
      </x:rPr>
      <x:t xml:space="preserve">방어감소율 </x:t>
    </x:r>
    <x:r>
      <x:rPr>
        <x:sz val="1000"/>
        <x:color rgb="FF000000"/>
        <x:rFont val="Arial"/>
      </x:rPr>
      <x:t xml:space="preserve">= </x:t>
    </x:r>
    <x:r>
      <x:rPr>
        <x:sz val="1000"/>
        <x:color rgb="FF000000"/>
        <x:rFont val="Noto Sans CJK SC"/>
        <x:family val="2"/>
      </x:rPr>
      <x:t xml:space="preserve">방어력 </x:t>
    </x:r>
    <x:r>
      <x:rPr>
        <x:sz val="1000"/>
        <x:color rgb="FF000000"/>
        <x:rFont val="Arial"/>
      </x:rPr>
      <x:t xml:space="preserve">/ (</x:t>
    </x:r>
    <x:r>
      <x:rPr>
        <x:sz val="1000"/>
        <x:color rgb="FF000000"/>
        <x:rFont val="Noto Sans CJK SC"/>
        <x:family val="2"/>
      </x:rPr>
      <x:t xml:space="preserve">방어력 </x:t>
    </x:r>
    <x:r>
      <x:rPr>
        <x:sz val="1000"/>
        <x:color rgb="FF000000"/>
        <x:rFont val="Arial"/>
      </x:rPr>
      <x:t xml:space="preserve">+ </x:t>
    </x:r>
    <x:r>
      <x:rPr>
        <x:sz val="1000"/>
        <x:color rgb="FF000000"/>
        <x:rFont val="Noto Sans CJK SC"/>
        <x:family val="2"/>
      </x:rPr>
      <x:t xml:space="preserve">상수</x:t>
    </x:r>
    <x:r>
      <x:rPr>
        <x:sz val="1000"/>
        <x:color rgb="FF000000"/>
        <x:rFont val="Arial"/>
      </x:rPr>
      <x:t xml:space="preserve">)</x:t>
    </x:r>
  </x:si>
  <x:si>
    <x:t xml:space="preserve">기준 적 방어력</x:t>
  </x:si>
  <x:si>
    <x:t xml:space="preserve">스킬 기대 피해 계산 기준값</x:t>
  </x:si>
  <x:si>
    <x:t xml:space="preserve">기준 방어감소율</x:t>
  </x:si>
  <x:si>
    <x:t xml:space="preserve">위 두 값으로 자동 계산</x:t>
  </x:si>
  <x:si>
    <x:t xml:space="preserve">수식</x:t>
  </x:si>
  <x:si>
    <x:t xml:space="preserve">코스트 초당 회복량</x:t>
  </x:si>
  <x:si>
    <x:t xml:space="preserve">실시간 충전 속도</x:t>
  </x:si>
  <x:si>
    <x:t xml:space="preserve">코스트 상한</x:t>
  </x:si>
  <x:si>
    <x:t xml:space="preserve">초과분은 소멸</x:t>
  </x:si>
  <x:si>
    <x:t xml:space="preserve">전투 시작 코스트</x:t>
  </x:si>
  <x:si>
    <x:r>
      <x:rPr>
        <x:sz val="1000"/>
        <x:color rgb="FF000000"/>
        <x:rFont val="Noto Sans CJK SC"/>
        <x:family val="2"/>
      </x:rPr>
      <x:t xml:space="preserve">최소 </x:t>
    </x:r>
    <x:r>
      <x:rPr>
        <x:sz val="1000"/>
        <x:color rgb="FF000000"/>
        <x:rFont val="Arial"/>
      </x:rPr>
      <x:t xml:space="preserve">GCD (</x:t>
    </x:r>
    <x:r>
      <x:rPr>
        <x:sz val="1000"/>
        <x:color rgb="FF000000"/>
        <x:rFont val="Noto Sans CJK SC"/>
        <x:family val="2"/>
      </x:rPr>
      <x:t xml:space="preserve">초</x:t>
    </x:r>
    <x:r>
      <x:rPr>
        <x:sz val="1000"/>
        <x:color rgb="FF000000"/>
        <x:rFont val="Arial"/>
      </x:rPr>
      <x:t xml:space="preserve">)</x:t>
    </x:r>
  </x:si>
  <x:si>
    <x:r>
      <x:rPr>
        <x:sz val="1000"/>
        <x:color rgb="FF000000"/>
        <x:rFont val="Noto Sans CJK SC"/>
        <x:family val="2"/>
      </x:rPr>
      <x:t xml:space="preserve">행동 잠금 </x:t>
    </x:r>
    <x:r>
      <x:rPr>
        <x:sz val="1000"/>
        <x:color rgb="FF000000"/>
        <x:rFont val="Arial"/>
      </x:rPr>
      <x:t xml:space="preserve">= MAX(</x:t>
    </x:r>
    <x:r>
      <x:rPr>
        <x:sz val="1000"/>
        <x:color rgb="FF000000"/>
        <x:rFont val="Noto Sans CJK SC"/>
        <x:family val="2"/>
      </x:rPr>
      <x:t xml:space="preserve">캐스팅 시간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이 값</x:t>
    </x:r>
    <x:r>
      <x:rPr>
        <x:sz val="1000"/>
        <x:color rgb="FF000000"/>
        <x:rFont val="Arial"/>
      </x:rPr>
      <x:t xml:space="preserve">)</x:t>
    </x:r>
  </x:si>
  <x:si>
    <x:r>
      <x:rPr>
        <x:sz val="1000"/>
        <x:color rgb="FF000000"/>
        <x:rFont val="Noto Sans CJK SC"/>
        <x:family val="2"/>
      </x:rPr>
      <x:t xml:space="preserve">확정값 </x:t>
    </x:r>
    <x:r>
      <x:rPr>
        <x:sz val="1000"/>
        <x:color rgb="FF000000"/>
        <x:rFont val="Arial"/>
      </x:rPr>
      <x:t xml:space="preserve">(10_</x:t>
    </x:r>
    <x:r>
      <x:rPr>
        <x:sz val="1000"/>
        <x:color rgb="FF000000"/>
        <x:rFont val="Noto Sans CJK SC"/>
        <x:family val="2"/>
      </x:rPr>
      <x:t xml:space="preserve">결정사항</x:t>
    </x:r>
    <x:r>
      <x:rPr>
        <x:sz val="1000"/>
        <x:color rgb="FF000000"/>
        <x:rFont val="Arial"/>
      </x:rPr>
      <x:t xml:space="preserve">_</x:t>
    </x:r>
    <x:r>
      <x:rPr>
        <x:sz val="1000"/>
        <x:color rgb="FF000000"/>
        <x:rFont val="Noto Sans CJK SC"/>
        <x:family val="2"/>
      </x:rPr>
      <x:t xml:space="preserve">로그 </x:t>
    </x:r>
    <x:r>
      <x:rPr>
        <x:sz val="1000"/>
        <x:color rgb="FF000000"/>
        <x:rFont val="Arial"/>
      </x:rPr>
      <x:t xml:space="preserve">A1). </x:t>
    </x:r>
    <x:r>
      <x:rPr>
        <x:sz val="1000"/>
        <x:color rgb="FF000000"/>
        <x:rFont val="Noto Sans CJK SC"/>
        <x:family val="2"/>
      </x:rPr>
      <x:t xml:space="preserve">코스트가 꽉 찼을 때의 연타 속도를 제한</x:t>
    </x:r>
  </x:si>
  <x:si>
    <x:r>
      <x:rPr>
        <x:sz val="1000"/>
        <x:color rgb="FF000000"/>
        <x:rFont val="Noto Sans CJK SC"/>
        <x:family val="2"/>
      </x:rPr>
      <x:t xml:space="preserve">목표 전투 시간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잡몹</x:t>
    </x:r>
    <x:r>
      <x:rPr>
        <x:sz val="1000"/>
        <x:color rgb="FF000000"/>
        <x:rFont val="Arial"/>
      </x:rPr>
      <x:t xml:space="preserve">)</x:t>
    </x:r>
  </x:si>
  <x:si>
    <x:t xml:space="preserve">초</x:t>
  </x:si>
  <x:si>
    <x:r>
      <x:rPr>
        <x:sz val="1000"/>
        <x:color rgb="FF000000"/>
        <x:rFont val="Noto Sans CJK SC"/>
        <x:family val="2"/>
      </x:rPr>
      <x:t xml:space="preserve">목표 전투 시간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보스</x:t>
    </x:r>
    <x:r>
      <x:rPr>
        <x:sz val="1000"/>
        <x:color rgb="FF000000"/>
        <x:rFont val="Arial"/>
      </x:rPr>
      <x:t xml:space="preserve">)</x:t>
    </x:r>
  </x:si>
  <x:si>
    <x:r>
      <x:rPr>
        <x:sz val="1000"/>
        <x:color rgb="FF000000"/>
        <x:rFont val="Noto Sans CJK SC"/>
        <x:family val="2"/>
      </x:rPr>
      <x:t xml:space="preserve">포션 횟수 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런 전체</x:t>
    </x:r>
    <x:r>
      <x:rPr>
        <x:sz val="1000"/>
        <x:color rgb="FF000000"/>
        <x:rFont val="Arial"/>
      </x:rPr>
      <x:t xml:space="preserve">)</x:t>
    </x:r>
  </x:si>
  <x:si>
    <x:r>
      <x:rPr>
        <x:sz val="1000"/>
        <x:color rgb="FF000000"/>
        <x:rFont val="Noto Sans CJK SC"/>
        <x:family val="2"/>
      </x:rPr>
      <x:t xml:space="preserve">최대 </x:t>
    </x:r>
    <x:r>
      <x:rPr>
        <x:sz val="1000"/>
        <x:color rgb="FF000000"/>
        <x:rFont val="Arial"/>
      </x:rPr>
      <x:t xml:space="preserve">HP</x:t>
    </x:r>
    <x:r>
      <x:rPr>
        <x:sz val="1000"/>
        <x:color rgb="FF000000"/>
        <x:rFont val="Noto Sans CJK SC"/>
        <x:family val="2"/>
      </x:rPr>
      <x:t xml:space="preserve">의 </x:t>
    </x:r>
    <x:r>
      <x:rPr>
        <x:sz val="1000"/>
        <x:color rgb="FF000000"/>
        <x:rFont val="Arial"/>
      </x:rPr>
      <x:t xml:space="preserve">50%</x:t>
    </x:r>
    <x:r>
      <x:rPr>
        <x:sz val="1000"/>
        <x:color rgb="FF000000"/>
        <x:rFont val="Noto Sans CJK SC"/>
        <x:family val="2"/>
      </x:rPr>
      <x:t xml:space="preserve">씩 회복</x:t>
    </x:r>
  </x:si>
  <x:si>
    <x:r>
      <x:rPr>
        <x:sz val="1000"/>
        <x:color rgb="FF000000"/>
        <x:rFont val="Noto Sans CJK SC"/>
        <x:family val="2"/>
      </x:rPr>
      <x:t xml:space="preserve">확정값 </x:t>
    </x:r>
    <x:r>
      <x:rPr>
        <x:sz val="1000"/>
        <x:color rgb="FF000000"/>
        <x:rFont val="Arial"/>
      </x:rPr>
      <x:t xml:space="preserve">(10_</x:t>
    </x:r>
    <x:r>
      <x:rPr>
        <x:sz val="1000"/>
        <x:color rgb="FF000000"/>
        <x:rFont val="Noto Sans CJK SC"/>
        <x:family val="2"/>
      </x:rPr>
      <x:t xml:space="preserve">결정사항</x:t>
    </x:r>
    <x:r>
      <x:rPr>
        <x:sz val="1000"/>
        <x:color rgb="FF000000"/>
        <x:rFont val="Arial"/>
      </x:rPr>
      <x:t xml:space="preserve">_</x:t>
    </x:r>
    <x:r>
      <x:rPr>
        <x:sz val="1000"/>
        <x:color rgb="FF000000"/>
        <x:rFont val="Noto Sans CJK SC"/>
        <x:family val="2"/>
      </x:rPr>
      <x:t xml:space="preserve">로그 </x:t>
    </x:r>
    <x:r>
      <x:rPr>
        <x:sz val="1000"/>
        <x:color rgb="FF000000"/>
        <x:rFont val="Arial"/>
      </x:rPr>
      <x:t xml:space="preserve">A8)</x:t>
    </x:r>
  </x:si>
  <x:si>
    <x:t xml:space="preserve">잡몹전 평균 적 수</x:t>
  </x:si>
  <x:si>
    <x:t xml:space="preserve">광역기 실효 피해 계산용</x:t>
  </x:si>
  <x:si>
    <x:r>
      <x:rPr>
        <x:sz val="1000"/>
        <x:color rgb="FF000000"/>
        <x:rFont val="Noto Sans CJK SC"/>
        <x:family val="2"/>
      </x:rPr>
      <x:t xml:space="preserve">인카운터 </x:t>
    </x:r>
    <x:r>
      <x:rPr>
        <x:sz val="1000"/>
        <x:color rgb="FF000000"/>
        <x:rFont val="Arial"/>
      </x:rPr>
      <x:t xml:space="preserve">1~4</x:t>
    </x:r>
    <x:r>
      <x:rPr>
        <x:sz val="1000"/>
        <x:color rgb="FF000000"/>
        <x:rFont val="Noto Sans CJK SC"/>
        <x:family val="2"/>
      </x:rPr>
      <x:t xml:space="preserve">의 적 수 평균 </x:t>
    </x:r>
    <x:r>
      <x:rPr>
        <x:sz val="1000"/>
        <x:color rgb="FF000000"/>
        <x:rFont val="Arial"/>
      </x:rPr>
      <x:t xml:space="preserve">(2,2,2,3)</x:t>
    </x:r>
  </x:si>
  <x:si>
    <x:t xml:space="preserve">직업 스펙</x:t>
  </x:si>
  <x:si>
    <x:t xml:space="preserve">이름</x:t>
  </x:si>
  <x:si>
    <x:t xml:space="preserve">HP</x:t>
  </x:si>
  <x:si>
    <x:t xml:space="preserve">방어력</x:t>
  </x:si>
  <x:si>
    <x:t xml:space="preserve">기대 크리 배율</x:t>
  </x:si>
  <x:si>
    <x:t xml:space="preserve">설계 메모</x:t>
  </x:si>
  <x:si>
    <x:t xml:space="preserve">마법사</x:t>
  </x:si>
  <x:si>
    <x:r>
      <x:rPr>
        <x:i/>
        <x:sz val="900"/>
        <x:color rgb="FF808080"/>
        <x:rFont val="Arial"/>
      </x:rPr>
      <x:t xml:space="preserve">5</x:t>
    </x:r>
    <x:r>
      <x:rPr>
        <x:i/>
        <x:sz val="900"/>
        <x:color rgb="FF808080"/>
        <x:rFont val="Noto Sans CJK SC"/>
        <x:family val="2"/>
      </x:rPr>
      <x:t xml:space="preserve">행이 실제 데이터입니다</x:t>
    </x:r>
    <x:r>
      <x:rPr>
        <x:i/>
        <x:sz val="900"/>
        <x:color rgb="FF808080"/>
        <x:rFont val="Arial"/>
      </x:rPr>
      <x:t xml:space="preserve">. </x:t>
    </x:r>
    <x:r>
      <x:rPr>
        <x:i/>
        <x:sz val="900"/>
        <x:color rgb="FF808080"/>
        <x:rFont val="Noto Sans CJK SC"/>
        <x:family val="2"/>
      </x:rPr>
      <x:t xml:space="preserve">스킬 시트가 이 행을 참조하므로 행을 옮기지 마세요</x:t>
    </x:r>
    <x:r>
      <x:rPr>
        <x:i/>
        <x:sz val="900"/>
        <x:color rgb="FF808080"/>
        <x:rFont val="Arial"/>
      </x:rPr>
      <x:t xml:space="preserve">.</x:t>
    </x:r>
  </x:si>
  <x:si>
    <x:r>
      <x:rPr>
        <x:b/>
        <x:sz val="1000"/>
        <x:color rgb="FFC00000"/>
        <x:rFont val="Noto Sans CJK SC"/>
        <x:family val="2"/>
      </x:rPr>
      <x:t xml:space="preserve">공격력 스탯은 없습니다</x:t>
    </x:r>
    <x:r>
      <x:rPr>
        <x:b/>
        <x:sz val="1000"/>
        <x:color rgb="FFC00000"/>
        <x:rFont val="Arial"/>
      </x:rPr>
      <x:t xml:space="preserve">. </x:t>
    </x:r>
    <x:r>
      <x:rPr>
        <x:b/>
        <x:sz val="1000"/>
        <x:color rgb="FFC00000"/>
        <x:rFont val="Noto Sans CJK SC"/>
        <x:family val="2"/>
      </x:rPr>
      <x:t xml:space="preserve">최종피해 </x:t>
    </x:r>
    <x:r>
      <x:rPr>
        <x:b/>
        <x:sz val="1000"/>
        <x:color rgb="FFC00000"/>
        <x:rFont val="Arial"/>
      </x:rPr>
      <x:t xml:space="preserve">= (</x:t>
    </x:r>
    <x:r>
      <x:rPr>
        <x:b/>
        <x:sz val="1000"/>
        <x:color rgb="FFC00000"/>
        <x:rFont val="Noto Sans CJK SC"/>
        <x:family val="2"/>
      </x:rPr>
      <x:t xml:space="preserve">스킬 피해량 </x:t>
    </x:r>
    <x:r>
      <x:rPr>
        <x:b/>
        <x:sz val="1000"/>
        <x:color rgb="FFC00000"/>
        <x:rFont val="Arial"/>
      </x:rPr>
      <x:t xml:space="preserve">x </x:t>
    </x:r>
    <x:r>
      <x:rPr>
        <x:b/>
        <x:sz val="1000"/>
        <x:color rgb="FFC00000"/>
        <x:rFont val="Noto Sans CJK SC"/>
        <x:family val="2"/>
      </x:rPr>
      <x:t xml:space="preserve">타수</x:t>
    </x:r>
    <x:r>
      <x:rPr>
        <x:b/>
        <x:sz val="1000"/>
        <x:color rgb="FFC00000"/>
        <x:rFont val="Arial"/>
      </x:rPr>
      <x:t xml:space="preserve">) x (1 - </x:t>
    </x:r>
    <x:r>
      <x:rPr>
        <x:b/>
        <x:sz val="1000"/>
        <x:color rgb="FFC00000"/>
        <x:rFont val="Noto Sans CJK SC"/>
        <x:family val="2"/>
      </x:rPr>
      <x:t xml:space="preserve">방어감소율</x:t>
    </x:r>
    <x:r>
      <x:rPr>
        <x:b/>
        <x:sz val="1000"/>
        <x:color rgb="FFC00000"/>
        <x:rFont val="Arial"/>
      </x:rPr>
      <x:t xml:space="preserve">) x </x:t>
    </x:r>
    <x:r>
      <x:rPr>
        <x:b/>
        <x:sz val="1000"/>
        <x:color rgb="FFC00000"/>
        <x:rFont val="Noto Sans CJK SC"/>
        <x:family val="2"/>
      </x:rPr>
      <x:t xml:space="preserve">크리배율</x:t>
    </x:r>
  </x:si>
  <x:si>
    <x:r>
      <x:rPr>
        <x:b/>
        <x:sz val="13"/>
        <x:rFont val="Noto Sans CJK SC"/>
        <x:family val="2"/>
      </x:rPr>
      <x:t xml:space="preserve">스킬 풀 밸런스 </x:t>
    </x:r>
    <x:r>
      <x:rPr>
        <x:b/>
        <x:sz val="13"/>
        <x:rFont val="Arial"/>
      </x:rPr>
      <x:t xml:space="preserve">(14</x:t>
    </x:r>
    <x:r>
      <x:rPr>
        <x:b/>
        <x:sz val="13"/>
        <x:rFont val="Noto Sans CJK SC"/>
        <x:family val="2"/>
      </x:rPr>
      <x:t xml:space="preserve">종</x:t>
    </x:r>
    <x:r>
      <x:rPr>
        <x:b/>
        <x:sz val="13"/>
        <x:rFont val="Arial"/>
      </x:rPr>
      <x:t xml:space="preserve">)</x:t>
    </x:r>
  </x:si>
  <x:si>
    <x:r>
      <x:rPr>
        <x:i/>
        <x:sz val="9"/>
        <x:color rgb="FF808080"/>
        <x:rFont val="Noto Sans CJK SC"/>
        <x:family val="2"/>
      </x:rPr>
      <x:t xml:space="preserve">피해량은 계수가 아니라 절대값입니다</x:t>
    </x:r>
    <x:r>
      <x:rPr>
        <x:i/>
        <x:sz val="9"/>
        <x:color rgb="FF808080"/>
        <x:rFont val="Arial"/>
      </x:rPr>
      <x:t xml:space="preserve">. </x:t>
    </x:r>
    <x:r>
      <x:rPr>
        <x:i/>
        <x:sz val="9"/>
        <x:color rgb="FF808080"/>
        <x:rFont val="Noto Sans CJK SC"/>
        <x:family val="2"/>
      </x:rPr>
      <x:t xml:space="preserve">카드에 적히는 숫자가 곧 이 값입니다</x:t>
    </x:r>
    <x:r>
      <x:rPr>
        <x:i/>
        <x:sz val="9"/>
        <x:color rgb="FF808080"/>
        <x:rFont val="Arial"/>
      </x:rPr>
      <x:t xml:space="preserve">. F·I~N</x:t>
    </x:r>
    <x:r>
      <x:rPr>
        <x:i/>
        <x:sz val="9"/>
        <x:color rgb="FF808080"/>
        <x:rFont val="Noto Sans CJK SC"/>
        <x:family val="2"/>
      </x:rPr>
      <x:t xml:space="preserve">열 자동 계산</x:t>
    </x:r>
    <x:r>
      <x:rPr>
        <x:i/>
        <x:sz val="9"/>
        <x:color rgb="FF808080"/>
        <x:rFont val="Arial"/>
      </x:rPr>
      <x:t xml:space="preserve">. </x:t>
    </x:r>
    <x:r>
      <x:rPr>
        <x:i/>
        <x:sz val="9"/>
        <x:color rgb="FF808080"/>
        <x:rFont val="Noto Sans CJK SC"/>
        <x:family val="2"/>
      </x:rPr>
      <x:t xml:space="preserve">분류에 </x:t>
    </x:r>
    <x:r>
      <x:rPr>
        <x:i/>
        <x:sz val="9"/>
        <x:color rgb="FF808080"/>
        <x:rFont val="Arial"/>
      </x:rPr>
      <x:t xml:space="preserve">'</x:t>
    </x:r>
    <x:r>
      <x:rPr>
        <x:i/>
        <x:sz val="9"/>
        <x:color rgb="FF808080"/>
        <x:rFont val="Noto Sans CJK SC"/>
        <x:family val="2"/>
      </x:rPr>
      <x:t xml:space="preserve">광역</x:t>
    </x:r>
    <x:r>
      <x:rPr>
        <x:i/>
        <x:sz val="9"/>
        <x:color rgb="FF808080"/>
        <x:rFont val="Arial"/>
      </x:rPr>
      <x:t xml:space="preserve">'</x:t>
    </x:r>
    <x:r>
      <x:rPr>
        <x:i/>
        <x:sz val="9"/>
        <x:color rgb="FF808080"/>
        <x:rFont val="Noto Sans CJK SC"/>
        <x:family val="2"/>
      </x:rPr>
      <x:t xml:space="preserve">이 포함되면 잡몹전 기대 피해에 평균 적 수가 곱해집니다</x:t>
    </x:r>
    <x:r>
      <x:rPr>
        <x:i/>
        <x:sz val="9"/>
        <x:color rgb="FF808080"/>
        <x:rFont val="Arial"/>
      </x:rPr>
      <x:t xml:space="preserve">.</x:t>
    </x:r>
  </x:si>
  <x:si>
    <x:t xml:space="preserve">ID</x:t>
  </x:si>
  <x:si>
    <x:t xml:space="preserve">스킬명</x:t>
  </x:si>
  <x:si>
    <x:t xml:space="preserve">분류</x:t>
  </x:si>
  <x:si>
    <x:t xml:space="preserve">코스트</x:t>
  </x:si>
  <x:si>
    <x:r>
      <x:rPr>
        <x:b/>
        <x:sz val="10"/>
        <x:color rgb="FFFFFFFF"/>
        <x:rFont val="Noto Sans CJK SC"/>
        <x:family val="2"/>
      </x:rPr>
      <x:t xml:space="preserve">캐스팅</x:t>
    </x:r>
    <x:r>
      <x:rPr>
        <x:b/>
        <x:sz val="10"/>
        <x:color rgb="FFFFFFFF"/>
        <x:rFont val="Arial"/>
      </x:rPr>
      <x:t xml:space="preserve">(</x:t>
    </x:r>
    <x:r>
      <x:rPr>
        <x:b/>
        <x:sz val="10"/>
        <x:color rgb="FFFFFFFF"/>
        <x:rFont val="Noto Sans CJK SC"/>
        <x:family val="2"/>
      </x:rPr>
      <x:t xml:space="preserve">초</x:t>
    </x:r>
    <x:r>
      <x:rPr>
        <x:b/>
        <x:sz val="10"/>
        <x:color rgb="FFFFFFFF"/>
        <x:rFont val="Arial"/>
      </x:rPr>
      <x:t xml:space="preserve">)</x:t>
    </x:r>
  </x:si>
  <x:si>
    <x:r>
      <x:rPr>
        <x:b/>
        <x:sz val="10"/>
        <x:color rgb="FFFFFFFF"/>
        <x:rFont val="Noto Sans CJK SC"/>
        <x:family val="2"/>
      </x:rPr>
      <x:t xml:space="preserve">잠금</x:t>
    </x:r>
    <x:r>
      <x:rPr>
        <x:b/>
        <x:sz val="10"/>
        <x:color rgb="FFFFFFFF"/>
        <x:rFont val="Arial"/>
      </x:rPr>
      <x:t xml:space="preserve">(</x:t>
    </x:r>
    <x:r>
      <x:rPr>
        <x:b/>
        <x:sz val="10"/>
        <x:color rgb="FFFFFFFF"/>
        <x:rFont val="Noto Sans CJK SC"/>
        <x:family val="2"/>
      </x:rPr>
      <x:t xml:space="preserve">초</x:t>
    </x:r>
    <x:r>
      <x:rPr>
        <x:b/>
        <x:sz val="10"/>
        <x:color rgb="FFFFFFFF"/>
        <x:rFont val="Arial"/>
      </x:rPr>
      <x:t xml:space="preserve">)</x:t>
    </x:r>
  </x:si>
  <x:si>
    <x:t xml:space="preserve">피해량</x:t>
  </x:si>
  <x:si>
    <x:t xml:space="preserve">타수</x:t>
  </x:si>
  <x:si>
    <x:t xml:space="preserve">총 피해량</x:t>
  </x:si>
  <x:si>
    <x:r>
      <x:rPr>
        <x:b/>
        <x:sz val="10"/>
        <x:color rgb="FFFFFFFF"/>
        <x:rFont val="Noto Sans CJK SC"/>
        <x:family val="2"/>
      </x:rPr>
      <x:t xml:space="preserve">기대 피해 </x:t>
    </x:r>
    <x:r>
      <x:rPr>
        <x:b/>
        <x:sz val="10"/>
        <x:color rgb="FFFFFFFF"/>
        <x:rFont val="Arial"/>
      </x:rPr>
      <x:t xml:space="preserve">(1</x:t>
    </x:r>
    <x:r>
      <x:rPr>
        <x:b/>
        <x:sz val="10"/>
        <x:color rgb="FFFFFFFF"/>
        <x:rFont val="Noto Sans CJK SC"/>
        <x:family val="2"/>
      </x:rPr>
      <x:t xml:space="preserve">체</x:t>
    </x:r>
    <x:r>
      <x:rPr>
        <x:b/>
        <x:sz val="10"/>
        <x:color rgb="FFFFFFFF"/>
        <x:rFont val="Arial"/>
      </x:rPr>
      <x:t xml:space="preserve">)</x:t>
    </x:r>
  </x:si>
  <x:si>
    <x:r>
      <x:rPr>
        <x:b/>
        <x:sz val="10"/>
        <x:color rgb="FFFFFFFF"/>
        <x:rFont val="Noto Sans CJK SC"/>
        <x:family val="2"/>
      </x:rPr>
      <x:t xml:space="preserve">기대 피해 </x:t>
    </x:r>
    <x:r>
      <x:rPr>
        <x:b/>
        <x:sz val="10"/>
        <x:color rgb="FFFFFFFF"/>
        <x:rFont val="Arial"/>
      </x:rPr>
      <x:t xml:space="preserve">(</x:t>
    </x:r>
    <x:r>
      <x:rPr>
        <x:b/>
        <x:sz val="10"/>
        <x:color rgb="FFFFFFFF"/>
        <x:rFont val="Noto Sans CJK SC"/>
        <x:family val="2"/>
      </x:rPr>
      <x:t xml:space="preserve">잡몹</x:t>
    </x:r>
    <x:r>
      <x:rPr>
        <x:b/>
        <x:sz val="10"/>
        <x:color rgb="FFFFFFFF"/>
        <x:rFont val="Arial"/>
      </x:rPr>
      <x:t xml:space="preserve">)</x:t>
    </x:r>
  </x:si>
  <x:si>
    <x:r>
      <x:rPr>
        <x:b/>
        <x:sz val="10"/>
        <x:color rgb="FFFFFFFF"/>
        <x:rFont val="Noto Sans CJK SC"/>
        <x:family val="2"/>
      </x:rPr>
      <x:t xml:space="preserve">코스트당 </x:t>
    </x:r>
    <x:r>
      <x:rPr>
        <x:b/>
        <x:sz val="10"/>
        <x:color rgb="FFFFFFFF"/>
        <x:rFont val="Arial"/>
      </x:rPr>
      <x:t xml:space="preserve">(</x:t>
    </x:r>
    <x:r>
      <x:rPr>
        <x:b/>
        <x:sz val="10"/>
        <x:color rgb="FFFFFFFF"/>
        <x:rFont val="Noto Sans CJK SC"/>
        <x:family val="2"/>
      </x:rPr>
      <x:t xml:space="preserve">보스</x:t>
    </x:r>
    <x:r>
      <x:rPr>
        <x:b/>
        <x:sz val="10"/>
        <x:color rgb="FFFFFFFF"/>
        <x:rFont val="Arial"/>
      </x:rPr>
      <x:t xml:space="preserve">)</x:t>
    </x:r>
  </x:si>
  <x:si>
    <x:r>
      <x:rPr>
        <x:b/>
        <x:sz val="10"/>
        <x:color rgb="FFFFFFFF"/>
        <x:rFont val="Noto Sans CJK SC"/>
        <x:family val="2"/>
      </x:rPr>
      <x:t xml:space="preserve">코스트당 </x:t>
    </x:r>
    <x:r>
      <x:rPr>
        <x:b/>
        <x:sz val="10"/>
        <x:color rgb="FFFFFFFF"/>
        <x:rFont val="Arial"/>
      </x:rPr>
      <x:t xml:space="preserve">(</x:t>
    </x:r>
    <x:r>
      <x:rPr>
        <x:b/>
        <x:sz val="10"/>
        <x:color rgb="FFFFFFFF"/>
        <x:rFont val="Noto Sans CJK SC"/>
        <x:family val="2"/>
      </x:rPr>
      <x:t xml:space="preserve">잡몹</x:t>
    </x:r>
    <x:r>
      <x:rPr>
        <x:b/>
        <x:sz val="10"/>
        <x:color rgb="FFFFFFFF"/>
        <x:rFont val="Arial"/>
      </x:rPr>
      <x:t xml:space="preserve">)</x:t>
    </x:r>
  </x:si>
  <x:si>
    <x:r>
      <x:rPr>
        <x:b/>
        <x:sz val="10"/>
        <x:color rgb="FFFFFFFF"/>
        <x:rFont val="Noto Sans CJK SC"/>
        <x:family val="2"/>
      </x:rPr>
      <x:t xml:space="preserve">시간당 </x:t>
    </x:r>
    <x:r>
      <x:rPr>
        <x:b/>
        <x:sz val="10"/>
        <x:color rgb="FFFFFFFF"/>
        <x:rFont val="Arial"/>
      </x:rPr>
      <x:t xml:space="preserve">(</x:t>
    </x:r>
    <x:r>
      <x:rPr>
        <x:b/>
        <x:sz val="10"/>
        <x:color rgb="FFFFFFFF"/>
        <x:rFont val="Noto Sans CJK SC"/>
        <x:family val="2"/>
      </x:rPr>
      <x:t xml:space="preserve">잡몹</x:t>
    </x:r>
    <x:r>
      <x:rPr>
        <x:b/>
        <x:sz val="10"/>
        <x:color rgb="FFFFFFFF"/>
        <x:rFont val="Arial"/>
      </x:rPr>
      <x:t xml:space="preserve">)</x:t>
    </x:r>
  </x:si>
  <x:si>
    <x:t xml:space="preserve">방어도 부여</x:t>
  </x:si>
  <x:si>
    <x:r>
      <x:rPr>
        <x:b/>
        <x:sz val="10"/>
        <x:color rgb="FFFFFFFF"/>
        <x:rFont val="Noto Sans CJK SC"/>
        <x:family val="2"/>
      </x:rPr>
      <x:t xml:space="preserve">경직</x:t>
    </x:r>
    <x:r>
      <x:rPr>
        <x:b/>
        <x:sz val="10"/>
        <x:color rgb="FFFFFFFF"/>
        <x:rFont val="Arial"/>
      </x:rPr>
      <x:t xml:space="preserve">(</x:t>
    </x:r>
    <x:r>
      <x:rPr>
        <x:b/>
        <x:sz val="10"/>
        <x:color rgb="FFFFFFFF"/>
        <x:rFont val="Noto Sans CJK SC"/>
        <x:family val="2"/>
      </x:rPr>
      <x:t xml:space="preserve">초</x:t>
    </x:r>
    <x:r>
      <x:rPr>
        <x:b/>
        <x:sz val="10"/>
        <x:color rgb="FFFFFFFF"/>
        <x:rFont val="Arial"/>
      </x:rPr>
      <x:t xml:space="preserve">)</x:t>
    </x:r>
  </x:si>
  <x:si>
    <x:t xml:space="preserve">설계 의도</x:t>
  </x:si>
  <x:si>
    <x:r>
      <x:rPr>
        <x:b/>
        <x:sz val="10"/>
        <x:color rgb="FFFFFFFF"/>
        <x:rFont val="Noto Sans CJK SC"/>
        <x:family val="2"/>
      </x:rPr>
      <x:t xml:space="preserve">검증</x:t>
    </x:r>
    <x:r>
      <x:rPr>
        <x:b/>
        <x:sz val="10"/>
        <x:color rgb="FFFFFFFF"/>
        <x:rFont val="Arial"/>
      </x:rPr>
      <x:t xml:space="preserve">(</x:t>
    </x:r>
    <x:r>
      <x:rPr>
        <x:b/>
        <x:sz val="10"/>
        <x:color rgb="FFFFFFFF"/>
        <x:rFont val="Noto Sans CJK SC"/>
        <x:family val="2"/>
      </x:rPr>
      <x:t xml:space="preserve">코스트</x:t>
    </x:r>
    <x:r>
      <x:rPr>
        <x:b/>
        <x:sz val="10"/>
        <x:color rgb="FFFFFFFF"/>
        <x:rFont val="Arial"/>
      </x:rPr>
      <x:t xml:space="preserve">)</x:t>
    </x:r>
  </x:si>
  <x:si>
    <x:r>
      <x:rPr>
        <x:b/>
        <x:sz val="10"/>
        <x:color rgb="FFFFFFFF"/>
        <x:rFont val="Noto Sans CJK SC"/>
        <x:family val="2"/>
      </x:rPr>
      <x:t xml:space="preserve">검증</x:t>
    </x:r>
    <x:r>
      <x:rPr>
        <x:b/>
        <x:sz val="10"/>
        <x:color rgb="FFFFFFFF"/>
        <x:rFont val="Arial"/>
      </x:rPr>
      <x:t xml:space="preserve">(</x:t>
    </x:r>
    <x:r>
      <x:rPr>
        <x:b/>
        <x:sz val="10"/>
        <x:color rgb="FFFFFFFF"/>
        <x:rFont val="Noto Sans CJK SC"/>
        <x:family val="2"/>
      </x:rPr>
      <x:t xml:space="preserve">시간</x:t>
    </x:r>
    <x:r>
      <x:rPr>
        <x:b/>
        <x:sz val="10"/>
        <x:color rgb="FFFFFFFF"/>
        <x:rFont val="Arial"/>
      </x:rPr>
      <x:t xml:space="preserve">)</x:t>
    </x:r>
  </x:si>
  <x:si>
    <x:t xml:space="preserve">SK-A</x:t>
  </x:si>
  <x:si>
    <x:t xml:space="preserve">화염탄</x:t>
  </x:si>
  <x:si>
    <x:r>
      <x:rPr>
        <x:sz val="10"/>
        <x:color rgb="FF0000FF"/>
        <x:rFont val="Noto Sans CJK SC"/>
        <x:family val="2"/>
      </x:rPr>
      <x:t xml:space="preserve">딜</x:t>
    </x:r>
    <x:r>
      <x:rPr>
        <x:sz val="10"/>
        <x:color rgb="FF0000FF"/>
        <x:rFont val="Arial"/>
      </x:rPr>
      <x:t xml:space="preserve">/</x:t>
    </x:r>
    <x:r>
      <x:rPr>
        <x:sz val="10"/>
        <x:color rgb="FF0000FF"/>
        <x:rFont val="Noto Sans CJK SC"/>
        <x:family val="2"/>
      </x:rPr>
      <x:t xml:space="preserve">단일</x:t>
    </x:r>
  </x:si>
  <x:si>
    <x:r>
      <x:rPr>
        <x:sz val="10"/>
        <x:color rgb="FF0000FF"/>
        <x:rFont val="Noto Sans CJK SC"/>
        <x:family val="2"/>
      </x:rPr>
      <x:t xml:space="preserve">프로토타입 </x:t>
    </x:r>
    <x:r>
      <x:rPr>
        <x:sz val="10"/>
        <x:color rgb="FF0000FF"/>
        <x:rFont val="Arial"/>
      </x:rPr>
      <x:t xml:space="preserve">1</x:t>
    </x:r>
    <x:r>
      <x:rPr>
        <x:sz val="10"/>
        <x:color rgb="FF0000FF"/>
        <x:rFont val="Noto Sans CJK SC"/>
        <x:family val="2"/>
      </x:rPr>
      <x:t xml:space="preserve">단계 구현</x:t>
    </x:r>
    <x:r>
      <x:rPr>
        <x:sz val="10"/>
        <x:color rgb="FF0000FF"/>
        <x:rFont val="Arial"/>
      </x:rPr>
      <x:t xml:space="preserve">. Skill_Fireball</x:t>
    </x:r>
  </x:si>
  <x:si>
    <x:t xml:space="preserve">SK-B</x:t>
  </x:si>
  <x:si>
    <x:t xml:space="preserve">서리화살</x:t>
  </x:si>
  <x:si>
    <x:t xml:space="preserve">Skill_Frostbolt</x:t>
  </x:si>
  <x:si>
    <x:t xml:space="preserve">SK-C</x:t>
  </x:si>
  <x:si>
    <x:t xml:space="preserve">수정방패</x:t>
  </x:si>
  <x:si>
    <x:t xml:space="preserve">방어</x:t>
  </x:si>
  <x:si>
    <x:r>
      <x:rPr>
        <x:sz val="10"/>
        <x:color rgb="FF0000FF"/>
        <x:rFont val="Arial"/>
      </x:rPr>
      <x:t xml:space="preserve">Skill_CrystalShield. </x:t>
    </x:r>
    <x:r>
      <x:rPr>
        <x:sz val="10"/>
        <x:color rgb="FF0000FF"/>
        <x:rFont val="Noto Sans CJK SC"/>
        <x:family val="2"/>
      </x:rPr>
      <x:t xml:space="preserve">방어도 </x:t>
    </x:r>
    <x:r>
      <x:rPr>
        <x:sz val="10"/>
        <x:color rgb="FF0000FF"/>
        <x:rFont val="Arial"/>
      </x:rPr>
      <x:t xml:space="preserve">120</x:t>
    </x:r>
    <x:r>
      <x:rPr>
        <x:sz val="10"/>
        <x:color rgb="FF0000FF"/>
        <x:rFont val="Noto Sans CJK SC"/>
        <x:family val="2"/>
      </x:rPr>
      <x:t xml:space="preserve">은 </x:t>
    </x:r>
    <x:r>
      <x:rPr>
        <x:sz val="10"/>
        <x:color rgb="FF0000FF"/>
        <x:rFont val="Arial"/>
      </x:rPr>
      <x:t xml:space="preserve">3</x:t>
    </x:r>
    <x:r>
      <x:rPr>
        <x:sz val="10"/>
        <x:color rgb="FF0000FF"/>
        <x:rFont val="Noto Sans CJK SC"/>
        <x:family val="2"/>
      </x:rPr>
      <x:t xml:space="preserve">단계에서 적용</x:t>
    </x:r>
  </x:si>
  <x:si>
    <x:t xml:space="preserve">SK-D</x:t>
  </x:si>
  <x:si>
    <x:t xml:space="preserve">침묵</x:t>
  </x:si>
  <x:si>
    <x:t xml:space="preserve">차단</x:t>
  </x:si>
  <x:si>
    <x:t xml:space="preserve">SK-E</x:t>
  </x:si>
  <x:si>
    <x:t xml:space="preserve">연쇄번개</x:t>
  </x:si>
  <x:si>
    <x:r>
      <x:rPr>
        <x:sz val="10"/>
        <x:color rgb="FF0000FF"/>
        <x:rFont val="Arial"/>
      </x:rPr>
      <x:t xml:space="preserve">Skill_ChainLightning. 5~8</x:t>
    </x:r>
    <x:r>
      <x:rPr>
        <x:sz val="10"/>
        <x:color rgb="FF0000FF"/>
        <x:rFont val="Noto Sans CJK SC"/>
        <x:family val="2"/>
      </x:rPr>
      <x:t xml:space="preserve">일차에 광역으로 전환 검토</x:t>
    </x:r>
  </x:si>
  <x:si>
    <x:t xml:space="preserve">SK-F</x:t>
  </x:si>
  <x:si>
    <x:t xml:space="preserve">폭발</x:t>
  </x:si>
  <x:si>
    <x:r>
      <x:rPr>
        <x:sz val="10"/>
        <x:color rgb="FF0000FF"/>
        <x:rFont val="Arial"/>
      </x:rPr>
      <x:t xml:space="preserve">Skill_Explosion. </x:t>
    </x:r>
    <x:r>
      <x:rPr>
        <x:sz val="10"/>
        <x:color rgb="FF0000FF"/>
        <x:rFont val="Noto Sans CJK SC"/>
        <x:family val="2"/>
      </x:rPr>
      <x:t xml:space="preserve">광역 전환 후보</x:t>
    </x:r>
  </x:si>
  <x:si>
    <x:t xml:space="preserve">SK-G</x:t>
  </x:si>
  <x:si>
    <x:t xml:space="preserve">관통</x:t>
  </x:si>
  <x:si>
    <x:t xml:space="preserve">Skill_Pierce</x:t>
  </x:si>
  <x:si>
    <x:t xml:space="preserve">SK-H</x:t>
  </x:si>
  <x:si>
    <x:t xml:space="preserve">불기둥</x:t>
  </x:si>
  <x:si>
    <x:r>
      <x:rPr>
        <x:sz val="10"/>
        <x:color rgb="FF0000FF"/>
        <x:rFont val="Arial"/>
      </x:rPr>
      <x:t xml:space="preserve">Skill_FlamePillar. </x:t>
    </x:r>
    <x:r>
      <x:rPr>
        <x:sz val="10"/>
        <x:color rgb="FF0000FF"/>
        <x:rFont val="Noto Sans CJK SC"/>
        <x:family val="2"/>
      </x:rPr>
      <x:t xml:space="preserve">광역 전환 후보</x:t>
    </x:r>
  </x:si>
  <x:si>
    <x:r>
      <x:rPr>
        <x:b/>
        <x:sz val="10"/>
        <x:rFont val="Noto Sans CJK SC"/>
        <x:family val="2"/>
      </x:rPr>
      <x:t xml:space="preserve">밸런스 검증 </x:t>
    </x:r>
    <x:r>
      <x:rPr>
        <x:b/>
        <x:sz val="10"/>
        <x:rFont val="Arial"/>
      </x:rPr>
      <x:t xml:space="preserve">(</x:t>
    </x:r>
    <x:r>
      <x:rPr>
        <x:b/>
        <x:sz val="10"/>
        <x:rFont val="Noto Sans CJK SC"/>
        <x:family val="2"/>
      </x:rPr>
      <x:t xml:space="preserve">딜 카드만</x:t>
    </x:r>
    <x:r>
      <x:rPr>
        <x:b/>
        <x:sz val="10"/>
        <x:rFont val="Arial"/>
      </x:rPr>
      <x:t xml:space="preserve">, </x:t>
    </x:r>
    <x:r>
      <x:rPr>
        <x:b/>
        <x:sz val="10"/>
        <x:rFont val="Noto Sans CJK SC"/>
        <x:family val="2"/>
      </x:rPr>
      <x:t xml:space="preserve">잡몹전 기준</x:t>
    </x:r>
    <x:r>
      <x:rPr>
        <x:b/>
        <x:sz val="10"/>
        <x:rFont val="Arial"/>
      </x:rPr>
      <x:t xml:space="preserve">)</x:t>
    </x:r>
  </x:si>
  <x:si>
    <x:t xml:space="preserve">코스트당 최대</x:t>
  </x:si>
  <x:si>
    <x:r>
      <x:rPr>
        <x:i/>
        <x:sz val="9"/>
        <x:color rgb="FF808080"/>
        <x:rFont val="Noto Sans CJK SC"/>
        <x:family val="2"/>
      </x:rPr>
      <x:t xml:space="preserve">차단</x:t>
    </x:r>
    <x:r>
      <x:rPr>
        <x:i/>
        <x:sz val="9"/>
        <x:color rgb="FF808080"/>
        <x:rFont val="Arial"/>
      </x:rPr>
      <x:t xml:space="preserve">·</x:t>
    </x:r>
    <x:r>
      <x:rPr>
        <x:i/>
        <x:sz val="9"/>
        <x:color rgb="FF808080"/>
        <x:rFont val="Noto Sans CJK SC"/>
        <x:family val="2"/>
      </x:rPr>
      <x:t xml:space="preserve">방어 카드는 제외됨</x:t>
    </x:r>
  </x:si>
  <x:si>
    <x:t xml:space="preserve">코스트당 최소</x:t>
  </x:si>
  <x:si>
    <x:t xml:space="preserve">코스트당 비율</x:t>
  </x:si>
  <x:si>
    <x:r>
      <x:rPr>
        <x:i/>
        <x:sz val="9"/>
        <x:color rgb="FF808080"/>
        <x:rFont val="Noto Sans CJK SC"/>
        <x:family val="2"/>
      </x:rPr>
      <x:t xml:space="preserve">목표 </x:t>
    </x:r>
    <x:r>
      <x:rPr>
        <x:i/>
        <x:sz val="9"/>
        <x:color rgb="FF808080"/>
        <x:rFont val="Arial"/>
      </x:rPr>
      <x:t xml:space="preserve">1.30 </x:t>
    </x:r>
    <x:r>
      <x:rPr>
        <x:i/>
        <x:sz val="9"/>
        <x:color rgb="FF808080"/>
        <x:rFont val="Noto Sans CJK SC"/>
        <x:family val="2"/>
      </x:rPr>
      <x:t xml:space="preserve">이하</x:t>
    </x:r>
  </x:si>
  <x:si>
    <x:t xml:space="preserve">시간당 최대</x:t>
  </x:si>
  <x:si>
    <x:t xml:space="preserve">잠금 시간 대비 효율</x:t>
  </x:si>
  <x:si>
    <x:t xml:space="preserve">시간당 최소</x:t>
  </x:si>
  <x:si>
    <x:t xml:space="preserve">시간당 비율</x:t>
  </x:si>
  <x:si>
    <x:r>
      <x:rPr>
        <x:sz val="10"/>
        <x:rFont val="Noto Sans CJK SC"/>
        <x:family val="2"/>
      </x:rPr>
      <x:t xml:space="preserve">딜</x:t>
    </x:r>
    <x:r>
      <x:rPr>
        <x:sz val="10"/>
        <x:rFont val="Arial"/>
      </x:rPr>
      <x:t xml:space="preserve">/</x:t>
    </x:r>
    <x:r>
      <x:rPr>
        <x:sz val="10"/>
        <x:rFont val="Noto Sans CJK SC"/>
        <x:family val="2"/>
      </x:rPr>
      <x:t xml:space="preserve">단일 장수</x:t>
    </x:r>
  </x:si>
  <x:si>
    <x:r>
      <x:rPr>
        <x:i/>
        <x:sz val="9"/>
        <x:color rgb="FF808080"/>
        <x:rFont val="Noto Sans CJK SC"/>
        <x:family val="2"/>
      </x:rPr>
      <x:t xml:space="preserve">목표 </x:t>
    </x:r>
    <x:r>
      <x:rPr>
        <x:i/>
        <x:sz val="9"/>
        <x:color rgb="FF808080"/>
        <x:rFont val="Arial"/>
      </x:rPr>
      <x:t xml:space="preserve">4</x:t>
    </x:r>
  </x:si>
  <x:si>
    <x:r>
      <x:rPr>
        <x:sz val="10"/>
        <x:rFont val="Noto Sans CJK SC"/>
        <x:family val="2"/>
      </x:rPr>
      <x:t xml:space="preserve">딜</x:t>
    </x:r>
    <x:r>
      <x:rPr>
        <x:sz val="10"/>
        <x:rFont val="Arial"/>
      </x:rPr>
      <x:t xml:space="preserve">/</x:t>
    </x:r>
    <x:r>
      <x:rPr>
        <x:sz val="10"/>
        <x:rFont val="Noto Sans CJK SC"/>
        <x:family val="2"/>
      </x:rPr>
      <x:t xml:space="preserve">광역 장수</x:t>
    </x:r>
  </x:si>
  <x:si>
    <x:t xml:space="preserve">차단 카드 장수</x:t>
  </x:si>
  <x:si>
    <x:r>
      <x:rPr>
        <x:i/>
        <x:sz val="9"/>
        <x:color rgb="FF808080"/>
        <x:rFont val="Noto Sans CJK SC"/>
        <x:family val="2"/>
      </x:rPr>
      <x:t xml:space="preserve">목표 </x:t>
    </x:r>
    <x:r>
      <x:rPr>
        <x:i/>
        <x:sz val="9"/>
        <x:color rgb="FF808080"/>
        <x:rFont val="Arial"/>
      </x:rPr>
      <x:t xml:space="preserve">3</x:t>
    </x:r>
  </x:si>
  <x:si>
    <x:t xml:space="preserve">방어 카드 장수</x:t>
  </x:si>
  <x:si>
    <x:r>
      <x:rPr>
        <x:b/>
        <x:sz val="10"/>
        <x:color rgb="FFC00000"/>
        <x:rFont val="Noto Sans CJK SC"/>
        <x:family val="2"/>
      </x:rPr>
      <x:t xml:space="preserve">두 비율이 모두 </x:t>
    </x:r>
    <x:r>
      <x:rPr>
        <x:b/>
        <x:sz val="10"/>
        <x:color rgb="FFC00000"/>
        <x:rFont val="Arial"/>
      </x:rPr>
      <x:t xml:space="preserve">1.3 </x:t>
    </x:r>
    <x:r>
      <x:rPr>
        <x:b/>
        <x:sz val="10"/>
        <x:color rgb="FFC00000"/>
        <x:rFont val="Noto Sans CJK SC"/>
        <x:family val="2"/>
      </x:rPr>
      <x:t xml:space="preserve">이하여야 합니다</x:t>
    </x:r>
    <x:r>
      <x:rPr>
        <x:b/>
        <x:sz val="10"/>
        <x:color rgb="FFC00000"/>
        <x:rFont val="Arial"/>
      </x:rPr>
      <x:t xml:space="preserve">. </x:t>
    </x:r>
    <x:r>
      <x:rPr>
        <x:b/>
        <x:sz val="10"/>
        <x:color rgb="FFC00000"/>
        <x:rFont val="Noto Sans CJK SC"/>
        <x:family val="2"/>
      </x:rPr>
      <x:t xml:space="preserve">한쪽만 맞추면 무조건 채용되는 카드가 생깁니다</x:t>
    </x:r>
    <x:r>
      <x:rPr>
        <x:b/>
        <x:sz val="10"/>
        <x:color rgb="FFC00000"/>
        <x:rFont val="Arial"/>
      </x:rPr>
      <x:t xml:space="preserve">.</x:t>
    </x:r>
  </x:si>
  <x:si>
    <x:r>
      <x:rPr>
        <x:b/>
        <x:sz val="10"/>
        <x:color rgb="FFC00000"/>
        <x:rFont val="Noto Sans CJK SC"/>
        <x:family val="2"/>
      </x:rPr>
      <x:t xml:space="preserve">함정</x:t>
    </x:r>
    <x:r>
      <x:rPr>
        <x:b/>
        <x:sz val="10"/>
        <x:color rgb="FFC00000"/>
        <x:rFont val="Arial"/>
      </x:rPr>
      <x:t xml:space="preserve">: </x:t>
    </x:r>
    <x:r>
      <x:rPr>
        <x:b/>
        <x:sz val="10"/>
        <x:color rgb="FFC00000"/>
        <x:rFont val="Noto Sans CJK SC"/>
        <x:family val="2"/>
      </x:rPr>
      <x:t xml:space="preserve">차단</x:t>
    </x:r>
    <x:r>
      <x:rPr>
        <x:b/>
        <x:sz val="10"/>
        <x:color rgb="FFC00000"/>
        <x:rFont val="Arial"/>
      </x:rPr>
      <x:t xml:space="preserve">·</x:t>
    </x:r>
    <x:r>
      <x:rPr>
        <x:b/>
        <x:sz val="10"/>
        <x:color rgb="FFC00000"/>
        <x:rFont val="Noto Sans CJK SC"/>
        <x:family val="2"/>
      </x:rPr>
      <x:t xml:space="preserve">방어 카드에 딜을 붙이면 트레이드오프가 사라집니다</x:t>
    </x:r>
    <x:r>
      <x:rPr>
        <x:b/>
        <x:sz val="10"/>
        <x:color rgb="FFC00000"/>
        <x:rFont val="Arial"/>
      </x:rPr>
      <x:t xml:space="preserve">. </x:t>
    </x:r>
    <x:r>
      <x:rPr>
        <x:b/>
        <x:sz val="10"/>
        <x:color rgb="FFC00000"/>
        <x:rFont val="Noto Sans CJK SC"/>
        <x:family val="2"/>
      </x:rPr>
      <x:t xml:space="preserve">대응 카드는 딜을 포기하는 대가여야 합니다</x:t>
    </x:r>
    <x:r>
      <x:rPr>
        <x:b/>
        <x:sz val="10"/>
        <x:color rgb="FFC00000"/>
        <x:rFont val="Arial"/>
      </x:rPr>
      <x:t xml:space="preserve">.</x:t>
    </x:r>
  </x:si>
  <x:si>
    <x:r>
      <x:rPr>
        <x:b/>
        <x:sz val="10"/>
        <x:rFont val="Noto Sans CJK SC"/>
        <x:family val="2"/>
      </x:rPr>
      <x:t xml:space="preserve">단일 </x:t>
    </x:r>
    <x:r>
      <x:rPr>
        <x:b/>
        <x:sz val="10"/>
        <x:rFont val="Arial"/>
      </x:rPr>
      <x:t xml:space="preserve">/ </x:t>
    </x:r>
    <x:r>
      <x:rPr>
        <x:b/>
        <x:sz val="10"/>
        <x:rFont val="Noto Sans CJK SC"/>
        <x:family val="2"/>
      </x:rPr>
      <x:t xml:space="preserve">광역 설계</x:t>
    </x:r>
  </x:si>
  <x:si>
    <x:r>
      <x:rPr>
        <x:i/>
        <x:sz val="9"/>
        <x:color rgb="FF808080"/>
        <x:rFont val="Noto Sans CJK SC"/>
        <x:family val="2"/>
      </x:rPr>
      <x:t xml:space="preserve">손익분기는 적 </x:t>
    </x:r>
    <x:r>
      <x:rPr>
        <x:i/>
        <x:sz val="9"/>
        <x:color rgb="FF808080"/>
        <x:rFont val="Arial"/>
      </x:rPr>
      <x:t xml:space="preserve">2</x:t>
    </x:r>
    <x:r>
      <x:rPr>
        <x:i/>
        <x:sz val="9"/>
        <x:color rgb="FF808080"/>
        <x:rFont val="Noto Sans CJK SC"/>
        <x:family val="2"/>
      </x:rPr>
      <x:t xml:space="preserve">체</x:t>
    </x:r>
    <x:r>
      <x:rPr>
        <x:i/>
        <x:sz val="9"/>
        <x:color rgb="FF808080"/>
        <x:rFont val="Arial"/>
      </x:rPr>
      <x:t xml:space="preserve">. </x:t>
    </x:r>
    <x:r>
      <x:rPr>
        <x:i/>
        <x:sz val="9"/>
        <x:color rgb="FF808080"/>
        <x:rFont val="Noto Sans CJK SC"/>
        <x:family val="2"/>
      </x:rPr>
      <x:t xml:space="preserve">같은 코스트라면 광역 피해량은 단일 피해량의 절반입니다</x:t>
    </x:r>
    <x:r>
      <x:rPr>
        <x:i/>
        <x:sz val="9"/>
        <x:color rgb="FF808080"/>
        <x:rFont val="Arial"/>
      </x:rPr>
      <x:t xml:space="preserve">.</x:t>
    </x:r>
  </x:si>
  <x:si>
    <x:r>
      <x:rPr>
        <x:i/>
        <x:sz val="9"/>
        <x:color rgb="FF808080"/>
        <x:rFont val="Arial"/>
      </x:rPr>
      <x:t xml:space="preserve">L</x:t>
    </x:r>
    <x:r>
      <x:rPr>
        <x:i/>
        <x:sz val="9"/>
        <x:color rgb="FF808080"/>
        <x:rFont val="Noto Sans CJK SC"/>
        <x:family val="2"/>
      </x:rPr>
      <x:t xml:space="preserve">열</x:t>
    </x:r>
    <x:r>
      <x:rPr>
        <x:i/>
        <x:sz val="9"/>
        <x:color rgb="FF808080"/>
        <x:rFont val="Arial"/>
      </x:rPr>
      <x:t xml:space="preserve">(</x:t>
    </x:r>
    <x:r>
      <x:rPr>
        <x:i/>
        <x:sz val="9"/>
        <x:color rgb="FF808080"/>
        <x:rFont val="Noto Sans CJK SC"/>
        <x:family val="2"/>
      </x:rPr>
      <x:t xml:space="preserve">보스 기준</x:t>
    </x:r>
    <x:r>
      <x:rPr>
        <x:i/>
        <x:sz val="9"/>
        <x:color rgb="FF808080"/>
        <x:rFont val="Arial"/>
      </x:rPr>
      <x:t xml:space="preserve">)</x:t>
    </x:r>
    <x:r>
      <x:rPr>
        <x:i/>
        <x:sz val="9"/>
        <x:color rgb="FF808080"/>
        <x:rFont val="Noto Sans CJK SC"/>
        <x:family val="2"/>
      </x:rPr>
      <x:t xml:space="preserve">과 </x:t>
    </x:r>
    <x:r>
      <x:rPr>
        <x:i/>
        <x:sz val="9"/>
        <x:color rgb="FF808080"/>
        <x:rFont val="Arial"/>
      </x:rPr>
      <x:t xml:space="preserve">M</x:t>
    </x:r>
    <x:r>
      <x:rPr>
        <x:i/>
        <x:sz val="9"/>
        <x:color rgb="FF808080"/>
        <x:rFont val="Noto Sans CJK SC"/>
        <x:family val="2"/>
      </x:rPr>
      <x:t xml:space="preserve">열</x:t>
    </x:r>
    <x:r>
      <x:rPr>
        <x:i/>
        <x:sz val="9"/>
        <x:color rgb="FF808080"/>
        <x:rFont val="Arial"/>
      </x:rPr>
      <x:t xml:space="preserve">(</x:t>
    </x:r>
    <x:r>
      <x:rPr>
        <x:i/>
        <x:sz val="9"/>
        <x:color rgb="FF808080"/>
        <x:rFont val="Noto Sans CJK SC"/>
        <x:family val="2"/>
      </x:rPr>
      <x:t xml:space="preserve">잡몹 기준</x:t>
    </x:r>
    <x:r>
      <x:rPr>
        <x:i/>
        <x:sz val="9"/>
        <x:color rgb="FF808080"/>
        <x:rFont val="Arial"/>
      </x:rPr>
      <x:t xml:space="preserve">)</x:t>
    </x:r>
    <x:r>
      <x:rPr>
        <x:i/>
        <x:sz val="9"/>
        <x:color rgb="FF808080"/>
        <x:rFont val="Noto Sans CJK SC"/>
        <x:family val="2"/>
      </x:rPr>
      <x:t xml:space="preserve">의 격차가 크면 그 카드는 </x:t>
    </x:r>
    <x:r>
      <x:rPr>
        <x:i/>
        <x:sz val="9"/>
        <x:color rgb="FF808080"/>
        <x:rFont val="Arial"/>
      </x:rPr>
      <x:t xml:space="preserve">'</x:t>
    </x:r>
    <x:r>
      <x:rPr>
        <x:i/>
        <x:sz val="9"/>
        <x:color rgb="FF808080"/>
        <x:rFont val="Noto Sans CJK SC"/>
        <x:family val="2"/>
      </x:rPr>
      <x:t xml:space="preserve">상황용</x:t>
    </x:r>
    <x:r>
      <x:rPr>
        <x:i/>
        <x:sz val="9"/>
        <x:color rgb="FF808080"/>
        <x:rFont val="Arial"/>
      </x:rPr>
      <x:t xml:space="preserve">'</x:t>
    </x:r>
    <x:r>
      <x:rPr>
        <x:i/>
        <x:sz val="9"/>
        <x:color rgb="FF808080"/>
        <x:rFont val="Noto Sans CJK SC"/>
        <x:family val="2"/>
      </x:rPr>
      <x:t xml:space="preserve">입니다</x:t>
    </x:r>
    <x:r>
      <x:rPr>
        <x:i/>
        <x:sz val="9"/>
        <x:color rgb="FF808080"/>
        <x:rFont val="Arial"/>
      </x:rPr>
      <x:t xml:space="preserve">. </x:t>
    </x:r>
    <x:r>
      <x:rPr>
        <x:i/>
        <x:sz val="9"/>
        <x:color rgb="FF808080"/>
        <x:rFont val="Noto Sans CJK SC"/>
        <x:family val="2"/>
      </x:rPr>
      <x:t xml:space="preserve">격차가 없으면 범용입니다</x:t>
    </x:r>
    <x:r>
      <x:rPr>
        <x:i/>
        <x:sz val="9"/>
        <x:color rgb="FF808080"/>
        <x:rFont val="Arial"/>
      </x:rPr>
      <x:t xml:space="preserve">.</x:t>
    </x:r>
  </x:si>
  <x:si>
    <x:r>
      <x:rPr>
        <x:i/>
        <x:sz val="9"/>
        <x:color rgb="FF808080"/>
        <x:rFont val="Noto Sans CJK SC"/>
        <x:family val="2"/>
      </x:rPr>
      <x:t xml:space="preserve">보스전은 적 </x:t>
    </x:r>
    <x:r>
      <x:rPr>
        <x:i/>
        <x:sz val="9"/>
        <x:color rgb="FF808080"/>
        <x:rFont val="Arial"/>
      </x:rPr>
      <x:t xml:space="preserve">1</x:t>
    </x:r>
    <x:r>
      <x:rPr>
        <x:i/>
        <x:sz val="9"/>
        <x:color rgb="FF808080"/>
        <x:rFont val="Noto Sans CJK SC"/>
        <x:family val="2"/>
      </x:rPr>
      <x:t xml:space="preserve">체이므로 광역기는 </x:t>
    </x:r>
    <x:r>
      <x:rPr>
        <x:i/>
        <x:sz val="9"/>
        <x:color rgb="FF808080"/>
        <x:rFont val="Arial"/>
      </x:rPr>
      <x:t xml:space="preserve">L</x:t>
    </x:r>
    <x:r>
      <x:rPr>
        <x:i/>
        <x:sz val="9"/>
        <x:color rgb="FF808080"/>
        <x:rFont val="Noto Sans CJK SC"/>
        <x:family val="2"/>
      </x:rPr>
      <x:t xml:space="preserve">열 값만 나옵니다</x:t>
    </x:r>
    <x:r>
      <x:rPr>
        <x:i/>
        <x:sz val="9"/>
        <x:color rgb="FF808080"/>
        <x:rFont val="Arial"/>
      </x:rPr>
      <x:t xml:space="preserve">. </x:t>
    </x:r>
    <x:r>
      <x:rPr>
        <x:i/>
        <x:sz val="9"/>
        <x:color rgb="FF808080"/>
        <x:rFont val="Noto Sans CJK SC"/>
        <x:family val="2"/>
      </x:rPr>
      <x:t xml:space="preserve">덱 </x:t>
    </x:r>
    <x:r>
      <x:rPr>
        <x:i/>
        <x:sz val="9"/>
        <x:color rgb="FF808080"/>
        <x:rFont val="Arial"/>
      </x:rPr>
      <x:t xml:space="preserve">8</x:t>
    </x:r>
    <x:r>
      <x:rPr>
        <x:i/>
        <x:sz val="9"/>
        <x:color rgb="FF808080"/>
        <x:rFont val="Noto Sans CJK SC"/>
        <x:family val="2"/>
      </x:rPr>
      <x:t xml:space="preserve">장에 상황용을 몇 장 넣을지가 결정이 됩니다</x:t>
    </x:r>
    <x:r>
      <x:rPr>
        <x:i/>
        <x:sz val="9"/>
        <x:color rgb="FF808080"/>
        <x:rFont val="Arial"/>
      </x:rPr>
      <x:t xml:space="preserve">.</x:t>
    </x:r>
  </x:si>
  <x:si>
    <x:r>
      <x:rPr>
        <x:i/>
        <x:sz val="9"/>
        <x:color rgb="FF808080"/>
        <x:rFont val="Noto Sans CJK SC"/>
        <x:family val="2"/>
      </x:rPr>
      <x:t xml:space="preserve">광역기의 대가는 코스트가 아니라 캐스팅 시간</x:t>
    </x:r>
    <x:r>
      <x:rPr>
        <x:i/>
        <x:sz val="9"/>
        <x:color rgb="FF808080"/>
        <x:rFont val="Arial"/>
      </x:rPr>
      <x:t xml:space="preserve">(0.8~1.2</x:t>
    </x:r>
    <x:r>
      <x:rPr>
        <x:i/>
        <x:sz val="9"/>
        <x:color rgb="FF808080"/>
        <x:rFont val="Noto Sans CJK SC"/>
        <x:family val="2"/>
      </x:rPr>
      <x:t xml:space="preserve">초</x:t>
    </x:r>
    <x:r>
      <x:rPr>
        <x:i/>
        <x:sz val="9"/>
        <x:color rgb="FF808080"/>
        <x:rFont val="Arial"/>
      </x:rPr>
      <x:t xml:space="preserve">)</x:t>
    </x:r>
    <x:r>
      <x:rPr>
        <x:i/>
        <x:sz val="9"/>
        <x:color rgb="FF808080"/>
        <x:rFont val="Noto Sans CJK SC"/>
        <x:family val="2"/>
      </x:rPr>
      <x:t xml:space="preserve">입니다</x:t>
    </x:r>
    <x:r>
      <x:rPr>
        <x:i/>
        <x:sz val="9"/>
        <x:color rgb="FF808080"/>
        <x:rFont val="Arial"/>
      </x:rPr>
      <x:t xml:space="preserve">. </x:t>
    </x:r>
    <x:r>
      <x:rPr>
        <x:i/>
        <x:sz val="9"/>
        <x:color rgb="FF808080"/>
        <x:rFont val="Noto Sans CJK SC"/>
        <x:family val="2"/>
      </x:rPr>
      <x:t xml:space="preserve">코스트를 올리면 피해량도 비례해 올리세요</x:t>
    </x:r>
    <x:r>
      <x:rPr>
        <x:i/>
        <x:sz val="9"/>
        <x:color rgb="FF808080"/>
        <x:rFont val="Arial"/>
      </x:rPr>
      <x:t xml:space="preserve">.</x:t>
    </x:r>
  </x:si>
  <x:si>
    <x:r>
      <x:rPr>
        <x:b/>
        <x:sz val="13"/>
        <x:rFont val="Noto Sans CJK SC"/>
        <x:family val="2"/>
      </x:rPr>
      <x:t xml:space="preserve">덱 </x:t>
    </x:r>
    <x:r>
      <x:rPr>
        <x:b/>
        <x:sz val="13"/>
        <x:rFont val="Arial"/>
      </x:rPr>
      <x:t xml:space="preserve">8</x:t>
    </x:r>
    <x:r>
      <x:rPr>
        <x:b/>
        <x:sz val="13"/>
        <x:rFont val="Noto Sans CJK SC"/>
        <x:family val="2"/>
      </x:rPr>
      <x:t xml:space="preserve">장 구성 시뮬레이션</x:t>
    </x:r>
  </x:si>
  <x:si>
    <x:r>
      <x:rPr>
        <x:i/>
        <x:sz val="9"/>
        <x:color rgb="FF808080"/>
        <x:rFont val="Arial"/>
      </x:rPr>
      <x:t xml:space="preserve">B</x:t>
    </x:r>
    <x:r>
      <x:rPr>
        <x:i/>
        <x:sz val="9"/>
        <x:color rgb="FF808080"/>
        <x:rFont val="Noto Sans CJK SC"/>
        <x:family val="2"/>
      </x:rPr>
      <x:t xml:space="preserve">열에 스킬명만 입력하면 나머지는 자동 계산됩니다</x:t>
    </x:r>
    <x:r>
      <x:rPr>
        <x:i/>
        <x:sz val="9"/>
        <x:color rgb="FF808080"/>
        <x:rFont val="Arial"/>
      </x:rPr>
      <x:t xml:space="preserve">. </x:t>
    </x:r>
    <x:r>
      <x:rPr>
        <x:i/>
        <x:sz val="9"/>
        <x:color rgb="FF808080"/>
        <x:rFont val="Noto Sans CJK SC"/>
        <x:family val="2"/>
      </x:rPr>
      <x:t xml:space="preserve">스킬 시트의 스킬명과 정확히 일치해야 합니다</x:t>
    </x:r>
    <x:r>
      <x:rPr>
        <x:i/>
        <x:sz val="9"/>
        <x:color rgb="FF808080"/>
        <x:rFont val="Arial"/>
      </x:rPr>
      <x:t xml:space="preserve">.</x:t>
    </x:r>
  </x:si>
  <x:si>
    <x:t xml:space="preserve">슬롯</x:t>
  </x:si>
  <x:si>
    <x:t xml:space="preserve">기대 피해</x:t>
  </x:si>
  <x:si>
    <x:t xml:space="preserve">위치</x:t>
  </x:si>
  <x:si>
    <x:t xml:space="preserve">대응카드 코스트기준</x:t>
  </x:si>
  <x:si>
    <x:t xml:space="preserve">대응카드 잠금기준</x:t>
  </x:si>
  <x:si>
    <x:t xml:space="preserve">검증</x:t>
  </x:si>
  <x:si>
    <x:t xml:space="preserve">덱 총 코스트</x:t>
  </x:si>
  <x:si>
    <x:r>
      <x:rPr>
        <x:sz val="1000"/>
        <x:color rgb="FF000000"/>
        <x:rFont val="Noto Sans CJK SC"/>
        <x:family val="2"/>
      </x:rPr>
      <x:t xml:space="preserve">덱 </x:t>
    </x:r>
    <x:r>
      <x:rPr>
        <x:sz val="1000"/>
        <x:color rgb="FF000000"/>
        <x:rFont val="Arial"/>
      </x:rPr>
      <x:t xml:space="preserve">1</x:t>
    </x:r>
    <x:r>
      <x:rPr>
        <x:sz val="1000"/>
        <x:color rgb="FF000000"/>
        <x:rFont val="Noto Sans CJK SC"/>
        <x:family val="2"/>
      </x:rPr>
      <x:t xml:space="preserve">사이클 총 잠금 시간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초</x:t>
    </x:r>
    <x:r>
      <x:rPr>
        <x:sz val="1000"/>
        <x:color rgb="FF000000"/>
        <x:rFont val="Arial"/>
      </x:rPr>
      <x:t xml:space="preserve">)</x:t>
    </x:r>
  </x:si>
  <x:si>
    <x:r>
      <x:rPr>
        <x:i/>
        <x:sz val="900"/>
        <x:color rgb="FF808080"/>
        <x:rFont val="Arial"/>
      </x:rPr>
      <x:t xml:space="preserve">1</x:t>
    </x:r>
    <x:r>
      <x:rPr>
        <x:i/>
        <x:sz val="900"/>
        <x:color rgb="FF808080"/>
        <x:rFont val="Noto Sans CJK SC"/>
        <x:family val="2"/>
      </x:rPr>
      <x:t xml:space="preserve">사이클 시간보다 크면 코스트가 아니라 잠금이 병목입니다</x:t>
    </x:r>
  </x:si>
  <x:si>
    <x:r>
      <x:rPr>
        <x:sz val="1000"/>
        <x:color rgb="FF000000"/>
        <x:rFont val="Noto Sans CJK SC"/>
        <x:family val="2"/>
      </x:rPr>
      <x:t xml:space="preserve">덱 </x:t>
    </x:r>
    <x:r>
      <x:rPr>
        <x:sz val="1000"/>
        <x:color rgb="FF000000"/>
        <x:rFont val="Arial"/>
      </x:rPr>
      <x:t xml:space="preserve">1</x:t>
    </x:r>
    <x:r>
      <x:rPr>
        <x:sz val="1000"/>
        <x:color rgb="FF000000"/>
        <x:rFont val="Noto Sans CJK SC"/>
        <x:family val="2"/>
      </x:rPr>
      <x:t xml:space="preserve">사이클 총 기대 피해</x:t>
    </x:r>
  </x:si>
  <x:si>
    <x:t xml:space="preserve">목표 전투 시간 대비 사이클 수</x:t>
  </x:si>
  <x:si>
    <x:r>
      <x:rPr>
        <x:i/>
        <x:sz val="900"/>
        <x:color rgb="FF808080"/>
        <x:rFont val="Noto Sans CJK SC"/>
        <x:family val="2"/>
      </x:rPr>
      <x:t xml:space="preserve">목표 </x:t>
    </x:r>
    <x:r>
      <x:rPr>
        <x:i/>
        <x:sz val="900"/>
        <x:color rgb="FF808080"/>
        <x:rFont val="Arial"/>
      </x:rPr>
      <x:t xml:space="preserve">1.0~1.5</x:t>
    </x:r>
    <x:r>
      <x:rPr>
        <x:i/>
        <x:sz val="900"/>
        <x:color rgb="FF808080"/>
        <x:rFont val="Noto Sans CJK SC"/>
        <x:family val="2"/>
      </x:rPr>
      <x:t xml:space="preserve">회</x:t>
    </x:r>
  </x:si>
  <x:si>
    <x:r>
      <x:rPr>
        <x:sz val="1000"/>
        <x:color rgb="FF000000"/>
        <x:rFont val="Noto Sans CJK SC"/>
        <x:family val="2"/>
      </x:rPr>
      <x:t xml:space="preserve">대응 카드 장수 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차단</x:t>
    </x:r>
    <x:r>
      <x:rPr>
        <x:sz val="1000"/>
        <x:color rgb="FF000000"/>
        <x:rFont val="Arial"/>
      </x:rPr>
      <x:t xml:space="preserve">+</x:t>
    </x:r>
    <x:r>
      <x:rPr>
        <x:sz val="1000"/>
        <x:color rgb="FF000000"/>
        <x:rFont val="Noto Sans CJK SC"/>
        <x:family val="2"/>
      </x:rPr>
      <x:t xml:space="preserve">방어</x:t>
    </x:r>
    <x:r>
      <x:rPr>
        <x:sz val="1000"/>
        <x:color rgb="FF000000"/>
        <x:rFont val="Arial"/>
      </x:rPr>
      <x:t xml:space="preserve">)</x:t>
    </x:r>
  </x:si>
  <x:si>
    <x:r>
      <x:rPr>
        <x:i/>
        <x:sz val="900"/>
        <x:color rgb="FF808080"/>
        <x:rFont val="Noto Sans CJK SC"/>
        <x:family val="2"/>
      </x:rPr>
      <x:t xml:space="preserve">권장 </x:t>
    </x:r>
    <x:r>
      <x:rPr>
        <x:i/>
        <x:sz val="900"/>
        <x:color rgb="FF808080"/>
        <x:rFont val="Arial"/>
      </x:rPr>
      <x:t xml:space="preserve">2~3</x:t>
    </x:r>
    <x:r>
      <x:rPr>
        <x:i/>
        <x:sz val="900"/>
        <x:color rgb="FF808080"/>
        <x:rFont val="Noto Sans CJK SC"/>
        <x:family val="2"/>
      </x:rPr>
      <x:t xml:space="preserve">장</x:t>
    </x:r>
  </x:si>
  <x:si>
    <x:t xml:space="preserve">이 시트의 목적</x:t>
  </x:si>
  <x:si>
    <x:r>
      <x:rPr>
        <x:i/>
        <x:sz val="900"/>
        <x:color rgb="FF808080"/>
        <x:rFont val="Noto Sans CJK SC"/>
        <x:family val="2"/>
      </x:rPr>
      <x:t xml:space="preserve">앞쪽에 캐스팅 긴 카드를 몰아두면 코스트가 넘쳐도 못 끌어옵니다</x:t>
    </x:r>
    <x:r>
      <x:rPr>
        <x:i/>
        <x:sz val="900"/>
        <x:color rgb="FF808080"/>
        <x:rFont val="Arial"/>
      </x:rPr>
      <x:t xml:space="preserve">. </x:t>
    </x:r>
    <x:r>
      <x:rPr>
        <x:i/>
        <x:sz val="900"/>
        <x:color rgb="FF808080"/>
        <x:rFont val="Noto Sans CJK SC"/>
        <x:family val="2"/>
      </x:rPr>
      <x:t xml:space="preserve">덱 순서 자체가 설계 결정입니다</x:t>
    </x:r>
    <x:r>
      <x:rPr>
        <x:i/>
        <x:sz val="900"/>
        <x:color rgb="FF808080"/>
        <x:rFont val="Arial"/>
      </x:rPr>
      <x:t xml:space="preserve">.</x:t>
    </x:r>
  </x:si>
  <x:si>
    <x:t xml:space="preserve">적 스펙</x:t>
  </x:si>
  <x:si>
    <x:r>
      <x:rPr>
        <x:i/>
        <x:sz val="9"/>
        <x:color rgb="FF808080"/>
        <x:rFont val="Arial"/>
      </x:rPr>
      <x:t xml:space="preserve">F</x:t>
    </x:r>
    <x:r>
      <x:rPr>
        <x:i/>
        <x:sz val="9"/>
        <x:color rgb="FF808080"/>
        <x:rFont val="Noto Sans CJK SC"/>
        <x:family val="2"/>
      </x:rPr>
      <x:t xml:space="preserve">열</x:t>
    </x:r>
    <x:r>
      <x:rPr>
        <x:i/>
        <x:sz val="9"/>
        <x:color rgb="FF808080"/>
        <x:rFont val="Arial"/>
      </x:rPr>
      <x:t xml:space="preserve">(</x:t>
    </x:r>
    <x:r>
      <x:rPr>
        <x:i/>
        <x:sz val="9"/>
        <x:color rgb="FF808080"/>
        <x:rFont val="Noto Sans CJK SC"/>
        <x:family val="2"/>
      </x:rPr>
      <x:t xml:space="preserve">방어감소율</x:t>
    </x:r>
    <x:r>
      <x:rPr>
        <x:i/>
        <x:sz val="9"/>
        <x:color rgb="FF808080"/>
        <x:rFont val="Arial"/>
      </x:rPr>
      <x:t xml:space="preserve">), I</x:t>
    </x:r>
    <x:r>
      <x:rPr>
        <x:i/>
        <x:sz val="9"/>
        <x:color rgb="FF808080"/>
        <x:rFont val="Noto Sans CJK SC"/>
        <x:family val="2"/>
      </x:rPr>
      <x:t xml:space="preserve">열</x:t>
    </x:r>
    <x:r>
      <x:rPr>
        <x:i/>
        <x:sz val="9"/>
        <x:color rgb="FF808080"/>
        <x:rFont val="Arial"/>
      </x:rPr>
      <x:t xml:space="preserve">(</x:t>
    </x:r>
    <x:r>
      <x:rPr>
        <x:i/>
        <x:sz val="9"/>
        <x:color rgb="FF808080"/>
        <x:rFont val="Noto Sans CJK SC"/>
        <x:family val="2"/>
      </x:rPr>
      <x:t xml:space="preserve">예상 처치 시간</x:t>
    </x:r>
    <x:r>
      <x:rPr>
        <x:i/>
        <x:sz val="9"/>
        <x:color rgb="FF808080"/>
        <x:rFont val="Arial"/>
      </x:rPr>
      <x:t xml:space="preserve">)</x:t>
    </x:r>
    <x:r>
      <x:rPr>
        <x:i/>
        <x:sz val="9"/>
        <x:color rgb="FF808080"/>
        <x:rFont val="Noto Sans CJK SC"/>
        <x:family val="2"/>
      </x:rPr>
      <x:t xml:space="preserve">은 자동 계산</x:t>
    </x:r>
    <x:r>
      <x:rPr>
        <x:i/>
        <x:sz val="9"/>
        <x:color rgb="FF808080"/>
        <x:rFont val="Arial"/>
      </x:rPr>
      <x:t xml:space="preserve">.</x:t>
    </x:r>
  </x:si>
  <x:si>
    <x:t xml:space="preserve">담당 색상</x:t>
  </x:si>
  <x:si>
    <x:t xml:space="preserve">방어감소율</x:t>
  </x:si>
  <x:si>
    <x:t xml:space="preserve">차단 가능</x:t>
  </x:si>
  <x:si>
    <x:t xml:space="preserve">교육 의도</x:t>
  </x:si>
  <x:si>
    <x:r>
      <x:rPr>
        <x:sz val="10"/>
        <x:color rgb="FF0000FF"/>
        <x:rFont val="Noto Sans CJK SC"/>
        <x:family val="2"/>
      </x:rPr>
      <x:t xml:space="preserve">잡몹 </x:t>
    </x:r>
    <x:r>
      <x:rPr>
        <x:sz val="10"/>
        <x:color rgb="FF0000FF"/>
        <x:rFont val="Arial"/>
      </x:rPr>
      <x:t xml:space="preserve">A</x:t>
    </x:r>
  </x:si>
  <x:si>
    <x:t xml:space="preserve">초록</x:t>
  </x:si>
  <x:si>
    <x:t xml:space="preserve">대응 불필요한 공격을 먼저 보여줌</x:t>
  </x:si>
  <x:si>
    <x:r>
      <x:rPr>
        <x:sz val="10"/>
        <x:color rgb="FF0000FF"/>
        <x:rFont val="Noto Sans CJK SC"/>
        <x:family val="2"/>
      </x:rPr>
      <x:t xml:space="preserve">잡몹 </x:t>
    </x:r>
    <x:r>
      <x:rPr>
        <x:sz val="10"/>
        <x:color rgb="FF0000FF"/>
        <x:rFont val="Arial"/>
      </x:rPr>
      <x:t xml:space="preserve">B</x:t>
    </x:r>
  </x:si>
  <x:si>
    <x:t xml:space="preserve">주황</x:t>
  </x:si>
  <x:si>
    <x:t xml:space="preserve">가능</x:t>
  </x:si>
  <x:si>
    <x:t xml:space="preserve">차단 카드의 존재와 사용 타이밍</x:t>
  </x:si>
  <x:si>
    <x:r>
      <x:rPr>
        <x:sz val="10"/>
        <x:color rgb="FF0000FF"/>
        <x:rFont val="Noto Sans CJK SC"/>
        <x:family val="2"/>
      </x:rPr>
      <x:t xml:space="preserve">잡몹 </x:t>
    </x:r>
    <x:r>
      <x:rPr>
        <x:sz val="10"/>
        <x:color rgb="FF0000FF"/>
        <x:rFont val="Arial"/>
      </x:rPr>
      <x:t xml:space="preserve">C</x:t>
    </x:r>
  </x:si>
  <x:si>
    <x:t xml:space="preserve">빨강</x:t>
  </x:si>
  <x:si>
    <x:t xml:space="preserve">불가</x:t>
  </x:si>
  <x:si>
    <x:t xml:space="preserve">방어도 카드의 존재</x:t>
  </x:si>
  <x:si>
    <x:r>
      <x:rPr>
        <x:b/>
        <x:sz val="10"/>
        <x:color rgb="FFC00000"/>
        <x:rFont val="Arial"/>
      </x:rPr>
      <x:t xml:space="preserve">A·B·C</x:t>
    </x:r>
    <x:r>
      <x:rPr>
        <x:b/>
        <x:sz val="10"/>
        <x:color rgb="FFC00000"/>
        <x:rFont val="Noto Sans CJK SC"/>
        <x:family val="2"/>
      </x:rPr>
      <x:t xml:space="preserve">는 프로토타입 </x:t>
    </x:r>
    <x:r>
      <x:rPr>
        <x:b/>
        <x:sz val="10"/>
        <x:color rgb="FFC00000"/>
        <x:rFont val="Arial"/>
      </x:rPr>
      <x:t xml:space="preserve">2</x:t>
    </x:r>
    <x:r>
      <x:rPr>
        <x:b/>
        <x:sz val="10"/>
        <x:color rgb="FFC00000"/>
        <x:rFont val="Noto Sans CJK SC"/>
        <x:family val="2"/>
      </x:rPr>
      <x:t xml:space="preserve">단계 구현값입니다</x:t>
    </x:r>
    <x:r>
      <x:rPr>
        <x:b/>
        <x:sz val="10"/>
        <x:color rgb="FFC00000"/>
        <x:rFont val="Arial"/>
      </x:rPr>
      <x:t xml:space="preserve">. 4</x:t>
    </x:r>
    <x:r>
      <x:rPr>
        <x:b/>
        <x:sz val="10"/>
        <x:color rgb="FFC00000"/>
        <x:rFont val="Noto Sans CJK SC"/>
        <x:family val="2"/>
      </x:rPr>
      <x:t xml:space="preserve">열은 공격력이 아니라 피해량입니다</x:t>
    </x:r>
    <x:r>
      <x:rPr>
        <x:b/>
        <x:sz val="10"/>
        <x:color rgb="FFC00000"/>
        <x:rFont val="Arial"/>
      </x:rPr>
      <x:t xml:space="preserve">.</x:t>
    </x:r>
  </x:si>
  <x:si>
    <x:r>
      <x:rPr>
        <x:i/>
        <x:sz val="9"/>
        <x:color rgb="FF808080"/>
        <x:rFont val="Noto Sans CJK SC"/>
        <x:family val="2"/>
      </x:rPr>
      <x:t xml:space="preserve">담당 색상</x:t>
    </x:r>
    <x:r>
      <x:rPr>
        <x:i/>
        <x:sz val="9"/>
        <x:color rgb="FF808080"/>
        <x:rFont val="Arial"/>
      </x:rPr>
      <x:t xml:space="preserve">: </x:t>
    </x:r>
    <x:r>
      <x:rPr>
        <x:i/>
        <x:sz val="9"/>
        <x:color rgb="FF808080"/>
        <x:rFont val="Noto Sans CJK SC"/>
        <x:family val="2"/>
      </x:rPr>
      <x:t xml:space="preserve">초록</x:t>
    </x:r>
    <x:r>
      <x:rPr>
        <x:i/>
        <x:sz val="9"/>
        <x:color rgb="FF808080"/>
        <x:rFont val="Arial"/>
      </x:rPr>
      <x:t xml:space="preserve">=</x:t>
    </x:r>
    <x:r>
      <x:rPr>
        <x:i/>
        <x:sz val="9"/>
        <x:color rgb="FF808080"/>
        <x:rFont val="Noto Sans CJK SC"/>
        <x:family val="2"/>
      </x:rPr>
      <x:t xml:space="preserve">대응 불필요 </x:t>
    </x:r>
    <x:r>
      <x:rPr>
        <x:i/>
        <x:sz val="9"/>
        <x:color rgb="FF808080"/>
        <x:rFont val="Arial"/>
      </x:rPr>
      <x:t xml:space="preserve">/ </x:t>
    </x:r>
    <x:r>
      <x:rPr>
        <x:i/>
        <x:sz val="9"/>
        <x:color rgb="FF808080"/>
        <x:rFont val="Noto Sans CJK SC"/>
        <x:family val="2"/>
      </x:rPr>
      <x:t xml:space="preserve">주황</x:t>
    </x:r>
    <x:r>
      <x:rPr>
        <x:i/>
        <x:sz val="9"/>
        <x:color rgb="FF808080"/>
        <x:rFont val="Arial"/>
      </x:rPr>
      <x:t xml:space="preserve">=</x:t>
    </x:r>
    <x:r>
      <x:rPr>
        <x:i/>
        <x:sz val="9"/>
        <x:color rgb="FF808080"/>
        <x:rFont val="Noto Sans CJK SC"/>
        <x:family val="2"/>
      </x:rPr>
      <x:t xml:space="preserve">차단 대상 </x:t>
    </x:r>
    <x:r>
      <x:rPr>
        <x:i/>
        <x:sz val="9"/>
        <x:color rgb="FF808080"/>
        <x:rFont val="Arial"/>
      </x:rPr>
      <x:t xml:space="preserve">/ </x:t>
    </x:r>
    <x:r>
      <x:rPr>
        <x:i/>
        <x:sz val="9"/>
        <x:color rgb="FF808080"/>
        <x:rFont val="Noto Sans CJK SC"/>
        <x:family val="2"/>
      </x:rPr>
      <x:t xml:space="preserve">빨강</x:t>
    </x:r>
    <x:r>
      <x:rPr>
        <x:i/>
        <x:sz val="9"/>
        <x:color rgb="FF808080"/>
        <x:rFont val="Arial"/>
      </x:rPr>
      <x:t xml:space="preserve">=</x:t>
    </x:r>
    <x:r>
      <x:rPr>
        <x:i/>
        <x:sz val="9"/>
        <x:color rgb="FF808080"/>
        <x:rFont val="Noto Sans CJK SC"/>
        <x:family val="2"/>
      </x:rPr>
      <x:t xml:space="preserve">방어도 대상</x:t>
    </x:r>
  </x:si>
  <x:si>
    <x:r>
      <x:rPr>
        <x:b/>
        <x:sz val="13"/>
        <x:rFont val="Noto Sans CJK SC"/>
        <x:family val="2"/>
      </x:rPr>
      <x:t xml:space="preserve">런 전체 </x:t>
    </x:r>
    <x:r>
      <x:rPr>
        <x:b/>
        <x:sz val="13"/>
        <x:rFont val="Arial"/>
      </x:rPr>
      <x:t xml:space="preserve">HP </x:t>
    </x:r>
    <x:r>
      <x:rPr>
        <x:b/>
        <x:sz val="13"/>
        <x:rFont val="Noto Sans CJK SC"/>
        <x:family val="2"/>
      </x:rPr>
      <x:t xml:space="preserve">예산</x:t>
    </x:r>
  </x:si>
  <x:si>
    <x:t xml:space="preserve">전투</x:t>
  </x:si>
  <x:si>
    <x:t xml:space="preserve">구성</x:t>
  </x:si>
  <x:si>
    <x:t xml:space="preserve">완벽 대응 시 피해</x:t>
  </x:si>
  <x:si>
    <x:t xml:space="preserve">평범 대응 시 피해</x:t>
  </x:si>
  <x:si>
    <x:r>
      <x:rPr>
        <x:b/>
        <x:sz val="10"/>
        <x:color rgb="FFFFFFFF"/>
        <x:rFont val="Noto Sans CJK SC"/>
        <x:family val="2"/>
      </x:rPr>
      <x:t xml:space="preserve">누적 </x:t>
    </x:r>
    <x:r>
      <x:rPr>
        <x:b/>
        <x:sz val="10"/>
        <x:color rgb="FFFFFFFF"/>
        <x:rFont val="Arial"/>
      </x:rPr>
      <x:t xml:space="preserve">HP (</x:t>
    </x:r>
    <x:r>
      <x:rPr>
        <x:b/>
        <x:sz val="10"/>
        <x:color rgb="FFFFFFFF"/>
        <x:rFont val="Noto Sans CJK SC"/>
        <x:family val="2"/>
      </x:rPr>
      <x:t xml:space="preserve">완벽</x:t>
    </x:r>
    <x:r>
      <x:rPr>
        <x:b/>
        <x:sz val="10"/>
        <x:color rgb="FFFFFFFF"/>
        <x:rFont val="Arial"/>
      </x:rPr>
      <x:t xml:space="preserve">)</x:t>
    </x:r>
  </x:si>
  <x:si>
    <x:r>
      <x:rPr>
        <x:b/>
        <x:sz val="10"/>
        <x:color rgb="FFFFFFFF"/>
        <x:rFont val="Noto Sans CJK SC"/>
        <x:family val="2"/>
      </x:rPr>
      <x:t xml:space="preserve">누적 </x:t>
    </x:r>
    <x:r>
      <x:rPr>
        <x:b/>
        <x:sz val="10"/>
        <x:color rgb="FFFFFFFF"/>
        <x:rFont val="Arial"/>
      </x:rPr>
      <x:t xml:space="preserve">HP (</x:t>
    </x:r>
    <x:r>
      <x:rPr>
        <x:b/>
        <x:sz val="10"/>
        <x:color rgb="FFFFFFFF"/>
        <x:rFont val="Noto Sans CJK SC"/>
        <x:family val="2"/>
      </x:rPr>
      <x:t xml:space="preserve">평범</x:t>
    </x:r>
    <x:r>
      <x:rPr>
        <x:b/>
        <x:sz val="10"/>
        <x:color rgb="FFFFFFFF"/>
        <x:rFont val="Arial"/>
      </x:rPr>
      <x:t xml:space="preserve">)</x:t>
    </x:r>
  </x:si>
  <x:si>
    <x:t xml:space="preserve">판정</x:t>
  </x:si>
  <x:si>
    <x:t xml:space="preserve">비고</x:t>
  </x:si>
  <x:si>
    <x:t xml:space="preserve">총 피해 — 완벽 대응</x:t>
  </x:si>
  <x:si>
    <x:t xml:space="preserve">총 피해 — 평범 대응</x:t>
  </x:si>
  <x:si>
    <x:t xml:space="preserve">포션 총 회복량</x:t>
  </x:si>
  <x:si>
    <x:r>
      <x:rPr>
        <x:i/>
        <x:sz val="900"/>
        <x:color rgb="FF808080"/>
        <x:rFont val="Noto Sans CJK SC"/>
        <x:family val="2"/>
      </x:rPr>
      <x:t xml:space="preserve">런 전체 </x:t>
    </x:r>
    <x:r>
      <x:rPr>
        <x:i/>
        <x:sz val="900"/>
        <x:color rgb="FF808080"/>
        <x:rFont val="Arial"/>
      </x:rPr>
      <x:t xml:space="preserve">3</x:t>
    </x:r>
    <x:r>
      <x:rPr>
        <x:i/>
        <x:sz val="900"/>
        <x:color rgb="FF808080"/>
        <x:rFont val="Noto Sans CJK SC"/>
        <x:family val="2"/>
      </x:rPr>
      <x:t xml:space="preserve">회 </x:t>
    </x:r>
    <x:r>
      <x:rPr>
        <x:i/>
        <x:sz val="900"/>
        <x:color rgb="FF808080"/>
        <x:rFont val="Arial"/>
      </x:rPr>
      <x:t xml:space="preserve">x </x:t>
    </x:r>
    <x:r>
      <x:rPr>
        <x:i/>
        <x:sz val="900"/>
        <x:color rgb="FF808080"/>
        <x:rFont val="Noto Sans CJK SC"/>
        <x:family val="2"/>
      </x:rPr>
      <x:t xml:space="preserve">최대 </x:t>
    </x:r>
    <x:r>
      <x:rPr>
        <x:i/>
        <x:sz val="900"/>
        <x:color rgb="FF808080"/>
        <x:rFont val="Arial"/>
      </x:rPr>
      <x:t xml:space="preserve">HP 50%</x:t>
    </x:r>
  </x:si>
  <x:si>
    <x:t xml:space="preserve">감당 가능 총 피해</x:t>
  </x:si>
  <x:si>
    <x:t xml:space="preserve">완벽 대응 여유</x:t>
  </x:si>
  <x:si>
    <x:r>
      <x:rPr>
        <x:i/>
        <x:sz val="900"/>
        <x:color rgb="FF808080"/>
        <x:rFont val="Noto Sans CJK SC"/>
        <x:family val="2"/>
      </x:rPr>
      <x:t xml:space="preserve">클수록 쉬움</x:t>
    </x:r>
    <x:r>
      <x:rPr>
        <x:i/>
        <x:sz val="900"/>
        <x:color rgb="FF808080"/>
        <x:rFont val="Arial"/>
      </x:rPr>
      <x:t xml:space="preserve">. </x:t>
    </x:r>
    <x:r>
      <x:rPr>
        <x:i/>
        <x:sz val="900"/>
        <x:color rgb="FF808080"/>
        <x:rFont val="Noto Sans CJK SC"/>
        <x:family val="2"/>
      </x:rPr>
      <x:t xml:space="preserve">목표 </x:t>
    </x:r>
    <x:r>
      <x:rPr>
        <x:i/>
        <x:sz val="900"/>
        <x:color rgb="FF808080"/>
        <x:rFont val="Arial"/>
      </x:rPr>
      <x:t xml:space="preserve">600 </x:t>
    </x:r>
    <x:r>
      <x:rPr>
        <x:i/>
        <x:sz val="900"/>
        <x:color rgb="FF808080"/>
        <x:rFont val="Noto Sans CJK SC"/>
        <x:family val="2"/>
      </x:rPr>
      <x:t xml:space="preserve">이상</x:t>
    </x:r>
  </x:si>
  <x:si>
    <x:t xml:space="preserve">평범 대응 여유</x:t>
  </x:si>
  <x:si>
    <x:r>
      <x:rPr>
        <x:i/>
        <x:sz val="900"/>
        <x:color rgb="FF808080"/>
        <x:rFont val="Noto Sans CJK SC"/>
        <x:family val="2"/>
      </x:rPr>
      <x:t xml:space="preserve">목표 </x:t>
    </x:r>
    <x:r>
      <x:rPr>
        <x:i/>
        <x:sz val="900"/>
        <x:color rgb="FF808080"/>
        <x:rFont val="Arial"/>
      </x:rPr>
      <x:t xml:space="preserve">0~200. </x:t>
    </x:r>
    <x:r>
      <x:rPr>
        <x:i/>
        <x:sz val="900"/>
        <x:color rgb="FF808080"/>
        <x:rFont val="Noto Sans CJK SC"/>
        <x:family val="2"/>
      </x:rPr>
      <x:t xml:space="preserve">음수면 평범한 플레이로 클리어 불가</x:t>
    </x:r>
  </x:si>
  <x:si>
    <x:t xml:space="preserve">대응 성공의 가치</x:t>
  </x:si>
  <x:si>
    <x:r>
      <x:rPr>
        <x:i/>
        <x:sz val="900"/>
        <x:color rgb="FF808080"/>
        <x:rFont val="Noto Sans CJK SC"/>
        <x:family val="2"/>
      </x:rPr>
      <x:t xml:space="preserve">이 값이 클수록 방어 카드가 의미 있음</x:t>
    </x:r>
    <x:r>
      <x:rPr>
        <x:i/>
        <x:sz val="900"/>
        <x:color rgb="FF808080"/>
        <x:rFont val="Arial"/>
      </x:rPr>
      <x:t xml:space="preserve">. </x:t>
    </x:r>
    <x:r>
      <x:rPr>
        <x:i/>
        <x:sz val="900"/>
        <x:color rgb="FF808080"/>
        <x:rFont val="Noto Sans CJK SC"/>
        <x:family val="2"/>
      </x:rPr>
      <x:t xml:space="preserve">목표 </x:t>
    </x:r>
    <x:r>
      <x:rPr>
        <x:i/>
        <x:sz val="900"/>
        <x:color rgb="FF808080"/>
        <x:rFont val="Arial"/>
      </x:rPr>
      <x:t xml:space="preserve">300 </x:t>
    </x:r>
    <x:r>
      <x:rPr>
        <x:i/>
        <x:sz val="900"/>
        <x:color rgb="FF808080"/>
        <x:rFont val="Noto Sans CJK SC"/>
        <x:family val="2"/>
      </x:rPr>
      <x:t xml:space="preserve">이상</x:t>
    </x:r>
  </x:si>
  <x:si>
    <x:t xml:space="preserve">설계 목표</x:t>
  </x:si>
  <x:si>
    <x:r>
      <x:rPr>
        <x:i/>
        <x:sz val="900"/>
        <x:color rgb="FF808080"/>
        <x:rFont val="Arial"/>
      </x:rPr>
      <x:t xml:space="preserve">'</x:t>
    </x:r>
    <x:r>
      <x:rPr>
        <x:i/>
        <x:sz val="900"/>
        <x:color rgb="FF808080"/>
        <x:rFont val="Noto Sans CJK SC"/>
        <x:family val="2"/>
      </x:rPr>
      <x:t xml:space="preserve">대응 성공의 가치</x:t>
    </x:r>
    <x:r>
      <x:rPr>
        <x:i/>
        <x:sz val="900"/>
        <x:color rgb="FF808080"/>
        <x:rFont val="Arial"/>
      </x:rPr>
      <x:t xml:space="preserve">'</x:t>
    </x:r>
    <x:r>
      <x:rPr>
        <x:i/>
        <x:sz val="900"/>
        <x:color rgb="FF808080"/>
        <x:rFont val="Noto Sans CJK SC"/>
        <x:family val="2"/>
      </x:rPr>
      <x:t xml:space="preserve">가 작으면 방어 카드를 넣을 이유가 없습니다</x:t>
    </x:r>
    <x:r>
      <x:rPr>
        <x:i/>
        <x:sz val="900"/>
        <x:color rgb="FF808080"/>
        <x:rFont val="Arial"/>
      </x:rPr>
      <x:t xml:space="preserve">. </x:t>
    </x:r>
    <x:r>
      <x:rPr>
        <x:i/>
        <x:sz val="900"/>
        <x:color rgb="FF808080"/>
        <x:rFont val="Noto Sans CJK SC"/>
        <x:family val="2"/>
      </x:rPr>
      <x:t xml:space="preserve">빨강 공격 피해를 키우세요</x:t>
    </x:r>
    <x:r>
      <x:rPr>
        <x:i/>
        <x:sz val="900"/>
        <x:color rgb="FF808080"/>
        <x:rFont val="Arial"/>
      </x:rPr>
      <x:t xml:space="preserve">.</x:t>
    </x:r>
  </x:si>
  <x:si>
    <x:r>
      <x:rPr>
        <x:i/>
        <x:sz val="900"/>
        <x:color rgb="FF808080"/>
        <x:rFont val="Arial"/>
      </x:rPr>
      <x:t xml:space="preserve">'</x:t>
    </x:r>
    <x:r>
      <x:rPr>
        <x:i/>
        <x:sz val="900"/>
        <x:color rgb="FF808080"/>
        <x:rFont val="Noto Sans CJK SC"/>
        <x:family val="2"/>
      </x:rPr>
      <x:t xml:space="preserve">평범 대응 여유</x:t>
    </x:r>
    <x:r>
      <x:rPr>
        <x:i/>
        <x:sz val="900"/>
        <x:color rgb="FF808080"/>
        <x:rFont val="Arial"/>
      </x:rPr>
      <x:t xml:space="preserve">'</x:t>
    </x:r>
    <x:r>
      <x:rPr>
        <x:i/>
        <x:sz val="900"/>
        <x:color rgb="FF808080"/>
        <x:rFont val="Noto Sans CJK SC"/>
        <x:family val="2"/>
      </x:rPr>
      <x:t xml:space="preserve">가 크게 음수면 </x:t>
    </x:r>
    <x:r>
      <x:rPr>
        <x:i/>
        <x:sz val="900"/>
        <x:color rgb="FF808080"/>
        <x:rFont val="Arial"/>
      </x:rPr>
      <x:t xml:space="preserve">2~3</x:t>
    </x:r>
    <x:r>
      <x:rPr>
        <x:i/>
        <x:sz val="900"/>
        <x:color rgb="FF808080"/>
        <x:rFont val="Noto Sans CJK SC"/>
        <x:family val="2"/>
      </x:rPr>
      <x:t xml:space="preserve">전투에서 이미 클리어가 불가능해집니다</x:t>
    </x:r>
    <x:r>
      <x:rPr>
        <x:i/>
        <x:sz val="900"/>
        <x:color rgb="FF808080"/>
        <x:rFont val="Arial"/>
      </x:rPr>
      <x:t xml:space="preserve">. </x:t>
    </x:r>
    <x:r>
      <x:rPr>
        <x:i/>
        <x:sz val="900"/>
        <x:color rgb="FF808080"/>
        <x:rFont val="Noto Sans CJK SC"/>
        <x:family val="2"/>
      </x:rPr>
      <x:t xml:space="preserve">적 피해를 낮추세요</x:t>
    </x:r>
    <x:r>
      <x:rPr>
        <x:i/>
        <x:sz val="900"/>
        <x:color rgb="FF808080"/>
        <x:rFont val="Arial"/>
      </x:rPr>
      <x:t xml:space="preserve">.</x:t>
    </x:r>
  </x:si>
  <x:si>
    <x:t xml:space="preserve">인카운터 구성 및 실측</x:t>
  </x:si>
  <x:si>
    <x:r>
      <x:rPr>
        <x:i/>
        <x:sz val="9"/>
        <x:color rgb="FF808080"/>
        <x:rFont val="Arial"/>
      </x:rPr>
      <x:t xml:space="preserve">D</x:t>
    </x:r>
    <x:r>
      <x:rPr>
        <x:i/>
        <x:sz val="9"/>
        <x:color rgb="FF808080"/>
        <x:rFont val="Noto Sans CJK SC"/>
        <x:family val="2"/>
      </x:rPr>
      <x:t xml:space="preserve">열</x:t>
    </x:r>
    <x:r>
      <x:rPr>
        <x:i/>
        <x:sz val="9"/>
        <x:color rgb="FF808080"/>
        <x:rFont val="Arial"/>
      </x:rPr>
      <x:t xml:space="preserve">(</x:t>
    </x:r>
    <x:r>
      <x:rPr>
        <x:i/>
        <x:sz val="9"/>
        <x:color rgb="FF808080"/>
        <x:rFont val="Noto Sans CJK SC"/>
        <x:family val="2"/>
      </x:rPr>
      <x:t xml:space="preserve">실측</x:t>
    </x:r>
    <x:r>
      <x:rPr>
        <x:i/>
        <x:sz val="9"/>
        <x:color rgb="FF808080"/>
        <x:rFont val="Arial"/>
      </x:rPr>
      <x:t xml:space="preserve">)</x:t>
    </x:r>
    <x:r>
      <x:rPr>
        <x:i/>
        <x:sz val="9"/>
        <x:color rgb="FF808080"/>
        <x:rFont val="Noto Sans CJK SC"/>
        <x:family val="2"/>
      </x:rPr>
      <x:t xml:space="preserve">은 </x:t>
    </x:r>
    <x:r>
      <x:rPr>
        <x:i/>
        <x:sz val="9"/>
        <x:color rgb="FF808080"/>
        <x:rFont val="Arial"/>
      </x:rPr>
      <x:t xml:space="preserve">18</x:t>
    </x:r>
    <x:r>
      <x:rPr>
        <x:i/>
        <x:sz val="9"/>
        <x:color rgb="FF808080"/>
        <x:rFont val="Noto Sans CJK SC"/>
        <x:family val="2"/>
      </x:rPr>
      <x:t xml:space="preserve">일차에 스톱워치로 측정해 기입</x:t>
    </x:r>
    <x:r>
      <x:rPr>
        <x:i/>
        <x:sz val="9"/>
        <x:color rgb="FF808080"/>
        <x:rFont val="Arial"/>
      </x:rPr>
      <x:t xml:space="preserve">. E·F</x:t>
    </x:r>
    <x:r>
      <x:rPr>
        <x:i/>
        <x:sz val="9"/>
        <x:color rgb="FF808080"/>
        <x:rFont val="Noto Sans CJK SC"/>
        <x:family val="2"/>
      </x:rPr>
      <x:t xml:space="preserve">열은 자동 계산</x:t>
    </x:r>
    <x:r>
      <x:rPr>
        <x:i/>
        <x:sz val="9"/>
        <x:color rgb="FF808080"/>
        <x:rFont val="Arial"/>
      </x:rPr>
      <x:t xml:space="preserve">.</x:t>
    </x:r>
  </x:si>
  <x:si>
    <x:t xml:space="preserve">번호</x:t>
  </x:si>
  <x:si>
    <x:r>
      <x:rPr>
        <x:b/>
        <x:sz val="10"/>
        <x:color rgb="FFFFFFFF"/>
        <x:rFont val="Noto Sans CJK SC"/>
        <x:family val="2"/>
      </x:rPr>
      <x:t xml:space="preserve">목표 시간</x:t>
    </x:r>
    <x:r>
      <x:rPr>
        <x:b/>
        <x:sz val="10"/>
        <x:color rgb="FFFFFFFF"/>
        <x:rFont val="Arial"/>
      </x:rPr>
      <x:t xml:space="preserve">(</x:t>
    </x:r>
    <x:r>
      <x:rPr>
        <x:b/>
        <x:sz val="10"/>
        <x:color rgb="FFFFFFFF"/>
        <x:rFont val="Noto Sans CJK SC"/>
        <x:family val="2"/>
      </x:rPr>
      <x:t xml:space="preserve">초</x:t>
    </x:r>
    <x:r>
      <x:rPr>
        <x:b/>
        <x:sz val="10"/>
        <x:color rgb="FFFFFFFF"/>
        <x:rFont val="Arial"/>
      </x:rPr>
      <x:t xml:space="preserve">)</x:t>
    </x:r>
  </x:si>
  <x:si>
    <x:r>
      <x:rPr>
        <x:b/>
        <x:sz val="10"/>
        <x:color rgb="FFFFFFFF"/>
        <x:rFont val="Noto Sans CJK SC"/>
        <x:family val="2"/>
      </x:rPr>
      <x:t xml:space="preserve">실측 시간</x:t>
    </x:r>
    <x:r>
      <x:rPr>
        <x:b/>
        <x:sz val="10"/>
        <x:color rgb="FFFFFFFF"/>
        <x:rFont val="Arial"/>
      </x:rPr>
      <x:t xml:space="preserve">(</x:t>
    </x:r>
    <x:r>
      <x:rPr>
        <x:b/>
        <x:sz val="10"/>
        <x:color rgb="FFFFFFFF"/>
        <x:rFont val="Noto Sans CJK SC"/>
        <x:family val="2"/>
      </x:rPr>
      <x:t xml:space="preserve">초</x:t>
    </x:r>
    <x:r>
      <x:rPr>
        <x:b/>
        <x:sz val="10"/>
        <x:color rgb="FFFFFFFF"/>
        <x:rFont val="Arial"/>
      </x:rPr>
      <x:t xml:space="preserve">)</x:t>
    </x:r>
  </x:si>
  <x:si>
    <x:r>
      <x:rPr>
        <x:b/>
        <x:sz val="10"/>
        <x:color rgb="FFFFFFFF"/>
        <x:rFont val="Noto Sans CJK SC"/>
        <x:family val="2"/>
      </x:rPr>
      <x:t xml:space="preserve">차이</x:t>
    </x:r>
    <x:r>
      <x:rPr>
        <x:b/>
        <x:sz val="10"/>
        <x:color rgb="FFFFFFFF"/>
        <x:rFont val="Arial"/>
      </x:rPr>
      <x:t xml:space="preserve">(</x:t>
    </x:r>
    <x:r>
      <x:rPr>
        <x:b/>
        <x:sz val="10"/>
        <x:color rgb="FFFFFFFF"/>
        <x:rFont val="Noto Sans CJK SC"/>
        <x:family val="2"/>
      </x:rPr>
      <x:t xml:space="preserve">초</x:t>
    </x:r>
    <x:r>
      <x:rPr>
        <x:b/>
        <x:sz val="10"/>
        <x:color rgb="FFFFFFFF"/>
        <x:rFont val="Arial"/>
      </x:rPr>
      <x:t xml:space="preserve">)</x:t>
    </x:r>
  </x:si>
  <x:si>
    <x:t xml:space="preserve">오차율</x:t>
  </x:si>
  <x:si>
    <x:t xml:space="preserve">신규 요소</x:t>
  </x:si>
  <x:si>
    <x:t xml:space="preserve">수정 내용과 근거</x:t>
  </x:si>
  <x:si>
    <x:r>
      <x:rPr>
        <x:i/>
        <x:sz val="9"/>
        <x:color rgb="FF808080"/>
        <x:rFont val="Arial"/>
      </x:rPr>
      <x:t xml:space="preserve">(</x:t>
    </x:r>
    <x:r>
      <x:rPr>
        <x:i/>
        <x:sz val="9"/>
        <x:color rgb="FF808080"/>
        <x:rFont val="Noto Sans CJK SC"/>
        <x:family val="2"/>
      </x:rPr>
      <x:t xml:space="preserve">예시</x:t>
    </x:r>
    <x:r>
      <x:rPr>
        <x:i/>
        <x:sz val="9"/>
        <x:color rgb="FF808080"/>
        <x:rFont val="Arial"/>
      </x:rPr>
      <x:t xml:space="preserve">) </x:t>
    </x:r>
    <x:r>
      <x:rPr>
        <x:i/>
        <x:sz val="9"/>
        <x:color rgb="FF808080"/>
        <x:rFont val="Noto Sans CJK SC"/>
        <x:family val="2"/>
      </x:rPr>
      <x:t xml:space="preserve">잡몹</x:t>
    </x:r>
    <x:r>
      <x:rPr>
        <x:i/>
        <x:sz val="9"/>
        <x:color rgb="FF808080"/>
        <x:rFont val="Arial"/>
      </x:rPr>
      <x:t xml:space="preserve">A ×2</x:t>
    </x:r>
  </x:si>
  <x:si>
    <x:t xml:space="preserve">기본 루프</x:t>
  </x:si>
  <x:si>
    <x:r>
      <x:rPr>
        <x:i/>
        <x:sz val="9"/>
        <x:color rgb="FF808080"/>
        <x:rFont val="Noto Sans CJK SC"/>
        <x:family val="2"/>
      </x:rPr>
      <x:t xml:space="preserve">목표 대비 </x:t>
    </x:r>
    <x:r>
      <x:rPr>
        <x:i/>
        <x:sz val="9"/>
        <x:color rgb="FF808080"/>
        <x:rFont val="Arial"/>
      </x:rPr>
      <x:t xml:space="preserve">45% </x:t>
    </x:r>
    <x:r>
      <x:rPr>
        <x:i/>
        <x:sz val="9"/>
        <x:color rgb="FF808080"/>
        <x:rFont val="Noto Sans CJK SC"/>
        <x:family val="2"/>
      </x:rPr>
      <x:t xml:space="preserve">초과</x:t>
    </x:r>
    <x:r>
      <x:rPr>
        <x:i/>
        <x:sz val="9"/>
        <x:color rgb="FF808080"/>
        <x:rFont val="Arial"/>
      </x:rPr>
      <x:t xml:space="preserve">. </x:t>
    </x:r>
    <x:r>
      <x:rPr>
        <x:i/>
        <x:sz val="9"/>
        <x:color rgb="FF808080"/>
        <x:rFont val="Noto Sans CJK SC"/>
        <x:family val="2"/>
      </x:rPr>
      <x:t xml:space="preserve">적 </x:t>
    </x:r>
    <x:r>
      <x:rPr>
        <x:i/>
        <x:sz val="9"/>
        <x:color rgb="FF808080"/>
        <x:rFont val="Arial"/>
      </x:rPr>
      <x:t xml:space="preserve">HP 300→220 </x:t>
    </x:r>
    <x:r>
      <x:rPr>
        <x:i/>
        <x:sz val="9"/>
        <x:color rgb="FF808080"/>
        <x:rFont val="Noto Sans CJK SC"/>
        <x:family val="2"/>
      </x:rPr>
      <x:t xml:space="preserve">하향 </x:t>
    </x:r>
    <x:r>
      <x:rPr>
        <x:i/>
        <x:sz val="9"/>
        <x:color rgb="FF808080"/>
        <x:rFont val="Arial"/>
      </x:rPr>
      <x:t xml:space="preserve">(18</x:t>
    </x:r>
    <x:r>
      <x:rPr>
        <x:i/>
        <x:sz val="9"/>
        <x:color rgb="FF808080"/>
        <x:rFont val="Noto Sans CJK SC"/>
        <x:family val="2"/>
      </x:rPr>
      <x:t xml:space="preserve">일차</x:t>
    </x:r>
    <x:r>
      <x:rPr>
        <x:i/>
        <x:sz val="9"/>
        <x:color rgb="FF808080"/>
        <x:rFont val="Arial"/>
      </x:rPr>
      <x:t xml:space="preserve">)</x:t>
    </x:r>
  </x:si>
  <x:si>
    <x:r>
      <x:rPr>
        <x:b/>
        <x:sz val="10"/>
        <x:rFont val="Noto Sans CJK SC"/>
        <x:family val="2"/>
      </x:rPr>
      <x:t xml:space="preserve">총 목표 전투 시간</x:t>
    </x:r>
    <x:r>
      <x:rPr>
        <x:b/>
        <x:sz val="10"/>
        <x:rFont val="Arial"/>
      </x:rPr>
      <x:t xml:space="preserve">(</x:t>
    </x:r>
    <x:r>
      <x:rPr>
        <x:b/>
        <x:sz val="10"/>
        <x:rFont val="Noto Sans CJK SC"/>
        <x:family val="2"/>
      </x:rPr>
      <x:t xml:space="preserve">초</x:t>
    </x:r>
    <x:r>
      <x:rPr>
        <x:b/>
        <x:sz val="10"/>
        <x:rFont val="Arial"/>
      </x:rPr>
      <x:t xml:space="preserve">)</x:t>
    </x:r>
  </x:si>
  <x:si>
    <x:r>
      <x:rPr>
        <x:i/>
        <x:sz val="9"/>
        <x:color rgb="FF808080"/>
        <x:rFont val="Noto Sans CJK SC"/>
        <x:family val="2"/>
      </x:rPr>
      <x:t xml:space="preserve">목표</x:t>
    </x:r>
    <x:r>
      <x:rPr>
        <x:i/>
        <x:sz val="9"/>
        <x:color rgb="FF808080"/>
        <x:rFont val="Arial"/>
      </x:rPr>
      <x:t xml:space="preserve">: </x:t>
    </x:r>
    <x:r>
      <x:rPr>
        <x:i/>
        <x:sz val="9"/>
        <x:color rgb="FF808080"/>
        <x:rFont val="Noto Sans CJK SC"/>
        <x:family val="2"/>
      </x:rPr>
      <x:t xml:space="preserve">전투 합계 </x:t>
    </x:r>
    <x:r>
      <x:rPr>
        <x:i/>
        <x:sz val="9"/>
        <x:color rgb="FF808080"/>
        <x:rFont val="Arial"/>
      </x:rPr>
      <x:t xml:space="preserve">6~7</x:t>
    </x:r>
    <x:r>
      <x:rPr>
        <x:i/>
        <x:sz val="9"/>
        <x:color rgb="FF808080"/>
        <x:rFont val="Noto Sans CJK SC"/>
        <x:family val="2"/>
      </x:rPr>
      <x:t xml:space="preserve">분 </x:t>
    </x:r>
    <x:r>
      <x:rPr>
        <x:i/>
        <x:sz val="9"/>
        <x:color rgb="FF808080"/>
        <x:rFont val="Arial"/>
      </x:rPr>
      <x:t xml:space="preserve">(360~420</x:t>
    </x:r>
    <x:r>
      <x:rPr>
        <x:i/>
        <x:sz val="9"/>
        <x:color rgb="FF808080"/>
        <x:rFont val="Noto Sans CJK SC"/>
        <x:family val="2"/>
      </x:rPr>
      <x:t xml:space="preserve">초</x:t>
    </x:r>
    <x:r>
      <x:rPr>
        <x:i/>
        <x:sz val="9"/>
        <x:color rgb="FF808080"/>
        <x:rFont val="Arial"/>
      </x:rPr>
      <x:t xml:space="preserve">)</x:t>
    </x:r>
  </x:si>
  <x:si>
    <x:r>
      <x:rPr>
        <x:b/>
        <x:sz val="10"/>
        <x:rFont val="Noto Sans CJK SC"/>
        <x:family val="2"/>
      </x:rPr>
      <x:t xml:space="preserve">총 실측 전투 시간</x:t>
    </x:r>
    <x:r>
      <x:rPr>
        <x:b/>
        <x:sz val="10"/>
        <x:rFont val="Arial"/>
      </x:rPr>
      <x:t xml:space="preserve">(</x:t>
    </x:r>
    <x:r>
      <x:rPr>
        <x:b/>
        <x:sz val="10"/>
        <x:rFont val="Noto Sans CJK SC"/>
        <x:family val="2"/>
      </x:rPr>
      <x:t xml:space="preserve">초</x:t>
    </x:r>
    <x:r>
      <x:rPr>
        <x:b/>
        <x:sz val="10"/>
        <x:rFont val="Arial"/>
      </x:rPr>
      <x:t xml:space="preserve">)</x:t>
    </x:r>
  </x:si>
</x:sst>
</file>

<file path=xl/styles.xml><?xml version="1.0" encoding="utf-8"?>
<x:styleSheet xmlns:x="http://schemas.openxmlformats.org/spreadsheetml/2006/main">
  <x:numFmts count="5">
    <x:numFmt numFmtId="164" formatCode="General"/>
    <x:numFmt numFmtId="165" formatCode="0.0%"/>
    <x:numFmt numFmtId="166" formatCode="0.00"/>
    <x:numFmt numFmtId="167" formatCode="0.0"/>
    <x:numFmt numFmtId="168" formatCode="0"/>
  </x:numFmts>
  <x:fonts count="18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3"/>
      <x:name val="Arial"/>
    </x:font>
    <x:font>
      <x:b/>
      <x:sz val="13"/>
      <x:name val="Noto Sans CJK SC"/>
    </x:font>
    <x:font>
      <x:i/>
      <x:sz val="9"/>
      <x:color rgb="FF808080"/>
      <x:name val="Noto Sans CJK SC"/>
    </x:font>
    <x:font>
      <x:i/>
      <x:sz val="9"/>
      <x:color rgb="FF808080"/>
      <x:name val="Arial"/>
    </x:font>
    <x:font>
      <x:b/>
      <x:sz val="10"/>
      <x:name val="Noto Sans CJK SC"/>
    </x:font>
    <x:font>
      <x:sz val="10"/>
      <x:name val="Arial"/>
    </x:font>
    <x:font>
      <x:sz val="10"/>
      <x:color rgb="FF0000FF"/>
      <x:name val="Noto Sans CJK SC"/>
    </x:font>
    <x:font>
      <x:sz val="10"/>
      <x:color rgb="FF0000FF"/>
      <x:name val="Arial"/>
    </x:font>
    <x:font>
      <x:sz val="10"/>
      <x:name val="Noto Sans CJK SC"/>
    </x:font>
    <x:font>
      <x:b/>
      <x:sz val="10"/>
      <x:color rgb="FFFFFFFF"/>
      <x:name val="Noto Sans CJK SC"/>
    </x:font>
    <x:font>
      <x:b/>
      <x:sz val="10"/>
      <x:color rgb="FFFFFFFF"/>
      <x:name val="Arial"/>
    </x:font>
    <x:font>
      <x:b/>
      <x:sz val="10"/>
      <x:color rgb="FFC00000"/>
      <x:name val="Noto Sans CJK SC"/>
    </x:font>
    <x:font>
      <x:b/>
      <x:sz val="10"/>
      <x:color rgb="FFC00000"/>
      <x:name val="Arial"/>
    </x:font>
    <x:font>
      <x:b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44546A"/>
      </x:patternFill>
    </x:fill>
    <x:fill>
      <x:patternFill patternType="solid">
        <x:fgColor rgb="FFF2F2F2"/>
      </x:patternFill>
    </x:fill>
  </x:fills>
  <x:borders count="2"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42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0">
      <x:alignment horizontal="general" vertical="bottom" wrapText="0"/>
    </x:xf>
    <x:xf numFmtId="164" fontId="6" fillId="0" borderId="0" xfId="0" applyFont="1" applyBorder="0" applyAlignment="0">
      <x:alignment horizontal="general" vertical="bottom" wrapText="0"/>
    </x:xf>
    <x:xf numFmtId="164" fontId="8" fillId="0" borderId="0" xfId="0" applyFont="1" applyBorder="0" applyAlignment="0">
      <x:alignment horizontal="general" vertical="bottom" wrapText="0"/>
    </x:xf>
    <x:xf numFmtId="164" fontId="9" fillId="0" borderId="0" xfId="0" applyFont="1" applyBorder="0" applyAlignment="1">
      <x:alignment horizontal="left" vertical="center" wrapText="1"/>
    </x:xf>
    <x:xf numFmtId="164" fontId="10" fillId="2" borderId="0" xfId="0" applyFont="1" applyBorder="0" applyAlignment="0">
      <x:alignment horizontal="general" vertical="bottom" wrapText="0"/>
    </x:xf>
    <x:xf numFmtId="164" fontId="12" fillId="0" borderId="0" xfId="0" applyFont="1" applyBorder="0" applyAlignment="1">
      <x:alignment horizontal="left" vertical="center" wrapText="1"/>
    </x:xf>
    <x:xf numFmtId="164" fontId="12" fillId="0" borderId="0" xfId="0" applyFont="1" applyBorder="0" applyAlignment="0">
      <x:alignment horizontal="general" vertical="bottom" wrapText="0"/>
    </x:xf>
    <x:xf numFmtId="164" fontId="13" fillId="3" borderId="1" xfId="0" applyFont="1" applyBorder="1" applyAlignment="1">
      <x:alignment horizontal="center" vertical="center" wrapText="0"/>
    </x:xf>
    <x:xf numFmtId="164" fontId="12" fillId="0" borderId="1" xfId="0" applyFont="1" applyBorder="1" applyAlignment="0">
      <x:alignment horizontal="general" vertical="bottom" wrapText="0"/>
    </x:xf>
    <x:xf numFmtId="164" fontId="12" fillId="0" borderId="1" xfId="0" applyFont="1" applyBorder="1" applyAlignment="1">
      <x:alignment horizontal="left" vertical="center" wrapText="1"/>
    </x:xf>
    <x:xf numFmtId="164" fontId="11" fillId="2" borderId="1" xfId="0" applyFont="1" applyBorder="1" applyAlignment="1">
      <x:alignment horizontal="center" vertical="center" wrapText="0"/>
    </x:xf>
    <x:xf numFmtId="164" fontId="9" fillId="0" borderId="1" xfId="0" applyFont="1" applyBorder="1" applyAlignment="1">
      <x:alignment horizontal="left" vertical="center" wrapText="1"/>
    </x:xf>
    <x:xf numFmtId="165" fontId="9" fillId="0" borderId="1" xfId="0" applyFont="1" applyBorder="1" applyAlignment="1">
      <x:alignment horizontal="center" vertical="center" wrapText="0"/>
    </x:xf>
    <x:xf numFmtId="164" fontId="15" fillId="0" borderId="0" xfId="0" applyFont="1" applyBorder="0" applyAlignment="0">
      <x:alignment horizontal="general" vertical="bottom" wrapText="0"/>
    </x:xf>
    <x:xf numFmtId="164" fontId="5" fillId="0" borderId="0" xfId="0" applyFont="1" applyBorder="0" applyAlignment="0">
      <x:alignment horizontal="general" vertical="bottom" wrapText="0"/>
    </x:xf>
    <x:xf numFmtId="164" fontId="14" fillId="3" borderId="1" xfId="0" applyFont="1" applyBorder="1" applyAlignment="1">
      <x:alignment horizontal="center" vertical="center" wrapText="0"/>
    </x:xf>
    <x:xf numFmtId="164" fontId="10" fillId="2" borderId="1" xfId="0" applyFont="1" applyBorder="1" applyAlignment="1">
      <x:alignment horizontal="center" vertical="center" wrapText="0"/>
    </x:xf>
    <x:xf numFmtId="165" fontId="11" fillId="2" borderId="1" xfId="0" applyFont="1" applyBorder="1" applyAlignment="1">
      <x:alignment horizontal="center" vertical="center" wrapText="0"/>
    </x:xf>
    <x:xf numFmtId="166" fontId="9" fillId="0" borderId="1" xfId="0" applyFont="1" applyBorder="1" applyAlignment="1">
      <x:alignment horizontal="center" vertical="center" wrapText="0"/>
    </x:xf>
    <x:xf numFmtId="164" fontId="10" fillId="2" borderId="1" xfId="0" applyFont="1" applyBorder="1" applyAlignment="1">
      <x:alignment horizontal="left" vertical="center" wrapText="1"/>
    </x:xf>
    <x:xf numFmtId="164" fontId="7" fillId="0" borderId="0" xfId="0" applyFont="1" applyBorder="0" applyAlignment="0">
      <x:alignment horizontal="general" vertical="bottom" wrapText="0"/>
    </x:xf>
    <x:xf numFmtId="167" fontId="9" fillId="0" borderId="1" xfId="0" applyFont="1" applyBorder="1" applyAlignment="1">
      <x:alignment horizontal="center" vertical="center" wrapText="0"/>
    </x:xf>
    <x:xf numFmtId="168" fontId="9" fillId="0" borderId="1" xfId="0" applyFont="1" applyBorder="1" applyAlignment="1">
      <x:alignment horizontal="center" vertical="center" wrapText="0"/>
    </x:xf>
    <x:xf numFmtId="164" fontId="11" fillId="2" borderId="1" xfId="0" applyFont="1" applyBorder="1" applyAlignment="1">
      <x:alignment horizontal="left" vertical="center" wrapText="1"/>
    </x:xf>
    <x:xf numFmtId="164" fontId="6" fillId="0" borderId="0" xfId="0" applyFont="1" applyBorder="0" applyAlignment="1">
      <x:alignment horizontal="left" vertical="center" wrapText="1"/>
    </x:xf>
    <x:xf numFmtId="164" fontId="7" fillId="0" borderId="0" xfId="0" applyFont="1" applyBorder="0" applyAlignment="1">
      <x:alignment horizontal="left" vertical="center" wrapText="1"/>
    </x:xf>
    <x:xf numFmtId="164" fontId="9" fillId="0" borderId="1" xfId="0" applyFont="1" applyBorder="1" applyAlignment="1">
      <x:alignment horizontal="center" vertical="center" wrapText="0"/>
    </x:xf>
    <x:xf numFmtId="164" fontId="16" fillId="0" borderId="0" xfId="0" applyFont="1" applyBorder="0" applyAlignment="0">
      <x:alignment horizontal="general" vertical="bottom" wrapText="0"/>
    </x:xf>
    <x:xf numFmtId="164" fontId="7" fillId="4" borderId="1" xfId="0" applyFont="1" applyBorder="1" applyAlignment="1">
      <x:alignment horizontal="center" vertical="center" wrapText="0"/>
    </x:xf>
    <x:xf numFmtId="164" fontId="7" fillId="4" borderId="1" xfId="0" applyFont="1" applyBorder="1" applyAlignment="1">
      <x:alignment horizontal="left" vertical="center" wrapText="1"/>
    </x:xf>
    <x:xf numFmtId="168" fontId="7" fillId="4" borderId="1" xfId="0" applyFont="1" applyBorder="1" applyAlignment="1">
      <x:alignment horizontal="center" vertical="center" wrapText="0"/>
    </x:xf>
    <x:xf numFmtId="165" fontId="7" fillId="4" borderId="1" xfId="0" applyFont="1" applyBorder="1" applyAlignment="1">
      <x:alignment horizontal="center" vertical="center" wrapText="0"/>
    </x:xf>
    <x:xf numFmtId="164" fontId="6" fillId="4" borderId="1" xfId="0" applyFont="1" applyBorder="1" applyAlignment="1">
      <x:alignment horizontal="left" vertical="center" wrapText="1"/>
    </x:xf>
    <x:xf numFmtId="164" fontId="10" fillId="2" borderId="1" xfId="0" applyNumberFormat="1" applyFont="1" applyFill="1" applyBorder="1" applyAlignment="1">
      <x:alignment horizontal="left" vertical="center" wrapText="1"/>
    </x:xf>
    <x:xf numFmtId="164" fontId="6" fillId="0" borderId="0" xfId="0" applyNumberFormat="1" applyFont="1" applyFill="1" applyBorder="1" applyAlignment="1">
      <x:alignment horizontal="left" vertical="center" wrapText="1"/>
    </x:xf>
    <x:xf numFmtId="164" fontId="7" fillId="0" borderId="0" xfId="0" applyNumberFormat="1" applyFont="1" applyFill="1" applyBorder="1" applyAlignment="1">
      <x:alignment horizontal="left" vertical="center" wrapText="1"/>
    </x:xf>
    <x:xf numFmtId="164" fontId="13" fillId="3" borderId="1" xfId="0" applyNumberFormat="1" applyFont="1" applyFill="1" applyBorder="1" applyAlignment="1">
      <x:alignment horizontal="center" vertical="center" wrapText="1"/>
    </x:xf>
    <x:xf numFmtId="164" fontId="6" fillId="0" borderId="0" xfId="0" applyNumberFormat="1" applyFont="1" applyFill="1" applyBorder="1" applyAlignment="1">
      <x:alignment horizontal="left" vertical="center" wrapText="0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7" fillId="0" borderId="0" xfId="0" applyNumberFormat="1" applyFont="1" applyFill="1" applyBorder="1" applyAlignment="1">
      <x:alignment horizontal="left" vertical="center" wrapText="0"/>
    </x:xf>
    <x:xf numFmtId="166" fontId="1" fillId="0" borderId="1" xfId="0" applyNumberFormat="1" applyFont="1" applyFill="1" applyBorder="1" applyAlignment="1">
      <x:alignment horizontal="center" vertical="center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C0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2F2F2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44546A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79f572071b45df" /><Relationship Type="http://schemas.openxmlformats.org/officeDocument/2006/relationships/theme" Target="/xl/theme/theme1.xml" Id="R327ae75b000645b4" /><Relationship Type="http://schemas.openxmlformats.org/officeDocument/2006/relationships/sharedStrings" Target="/xl/sharedStrings.xml" Id="Rc0467aa7694d46ac" /><Relationship Type="http://schemas.openxmlformats.org/officeDocument/2006/relationships/worksheet" Target="/xl/worksheets/sheet1.xml" Id="R4c729fbfa5454cda" /><Relationship Type="http://schemas.openxmlformats.org/officeDocument/2006/relationships/worksheet" Target="/xl/worksheets/sheet2.xml" Id="R623dcf9085d1448a" /><Relationship Type="http://schemas.openxmlformats.org/officeDocument/2006/relationships/worksheet" Target="/xl/worksheets/sheet3.xml" Id="Rb402684eb8164c64" /><Relationship Type="http://schemas.openxmlformats.org/officeDocument/2006/relationships/worksheet" Target="/xl/worksheets/sheet4.xml" Id="R3cd2c215fdc44952" /><Relationship Type="http://schemas.openxmlformats.org/officeDocument/2006/relationships/worksheet" Target="/xl/worksheets/sheet5.xml" Id="R99ac07ec9c814d27" /><Relationship Type="http://schemas.openxmlformats.org/officeDocument/2006/relationships/worksheet" Target="/xl/worksheets/sheet6.xml" Id="R30e7dee9b89d498d" /><Relationship Type="http://schemas.openxmlformats.org/officeDocument/2006/relationships/worksheet" Target="/xl/worksheets/sheet7.xml" Id="R7684ec5e80244a16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26" hidden="0" customWidth="1"/>
    <x:col min="2" max="2" width="46" hidden="0" customWidth="1"/>
    <x:col min="3" max="3" width="14" hidden="0" customWidth="1"/>
    <x:col min="4" max="4" width="52" hidden="0" customWidth="1"/>
  </x:cols>
  <x:sheetData>
    <x:row r="1" ht="20.100000381469727" hidden="0">
      <x:c r="A1" s="1" t="s">
        <x:v>0</x:v>
      </x:c>
    </x:row>
    <x:row r="2" ht="15" hidden="0">
      <x:c r="A2" s="2" t="s">
        <x:v>1</x:v>
      </x:c>
    </x:row>
    <x:row r="4" ht="15" hidden="0">
      <x:c r="A4" s="3" t="s">
        <x:v>2</x:v>
      </x:c>
      <x:c r="B4" s="4"/>
    </x:row>
    <x:row r="5" ht="15" hidden="0">
      <x:c r="A5" s="5" t="s">
        <x:v>3</x:v>
      </x:c>
      <x:c r="B5" s="6" t="s">
        <x:v>4</x:v>
      </x:c>
    </x:row>
    <x:row r="6" ht="15" hidden="0">
      <x:c r="A6" s="7" t="s">
        <x:v>5</x:v>
      </x:c>
      <x:c r="B6" s="6" t="s">
        <x:v>6</x:v>
      </x:c>
    </x:row>
    <x:row r="7" ht="15" hidden="0">
      <x:c r="A7" s="2" t="s">
        <x:v>7</x:v>
      </x:c>
      <x:c r="B7" s="6" t="s">
        <x:v>8</x:v>
      </x:c>
    </x:row>
    <x:row r="8" ht="15" hidden="0">
      <x:c r="A8" s="7"/>
      <x:c r="B8" s="4"/>
    </x:row>
    <x:row r="9" ht="15" hidden="0">
      <x:c r="A9" s="3" t="s">
        <x:v>9</x:v>
      </x:c>
      <x:c r="B9" s="4"/>
    </x:row>
    <x:row r="10" ht="15" hidden="0">
      <x:c r="A10" s="7" t="s">
        <x:v>10</x:v>
      </x:c>
      <x:c r="B10" s="6" t="s">
        <x:v>11</x:v>
      </x:c>
    </x:row>
    <x:row r="11" ht="15" hidden="0">
      <x:c r="A11" s="7" t="s">
        <x:v>12</x:v>
      </x:c>
      <x:c r="B11" s="6" t="s">
        <x:v>13</x:v>
      </x:c>
    </x:row>
    <x:row r="12" ht="29.850000381469727" hidden="0">
      <x:c r="A12" s="7" t="s">
        <x:v>14</x:v>
      </x:c>
      <x:c r="B12" s="6" t="s">
        <x:v>15</x:v>
      </x:c>
    </x:row>
    <x:row r="13" ht="15" hidden="0">
      <x:c r="A13" s="7" t="s">
        <x:v>16</x:v>
      </x:c>
      <x:c r="B13" s="6" t="s">
        <x:v>17</x:v>
      </x:c>
    </x:row>
    <x:row r="14" ht="15" hidden="0">
      <x:c r="A14" s="7" t="s">
        <x:v>18</x:v>
      </x:c>
      <x:c r="B14" s="6" t="s">
        <x:v>19</x:v>
      </x:c>
    </x:row>
    <x:row r="17" ht="15" hidden="0">
      <x:c r="A17" s="3" t="str">
        <x:v>공용 가정 — 현재 프로토타입 계산</x:v>
      </x:c>
    </x:row>
    <x:row r="18" ht="31.5" hidden="0" customHeight="1">
      <x:c r="A18" s="8" t="s">
        <x:v>20</x:v>
      </x:c>
      <x:c r="B18" s="8" t="s">
        <x:v>21</x:v>
      </x:c>
      <x:c r="C18" s="8" t="s">
        <x:v>22</x:v>
      </x:c>
      <x:c r="D18" s="8" t="s">
        <x:v>23</x:v>
      </x:c>
    </x:row>
    <x:row r="19" ht="15" hidden="0">
      <x:c r="A19" s="9" t="s">
        <x:v>24</x:v>
      </x:c>
      <x:c r="B19" s="10" t="s">
        <x:v>25</x:v>
      </x:c>
      <x:c r="C19" s="11" t="n">
        <x:v>1.8</x:v>
      </x:c>
      <x:c r="D19" s="12" t="s">
        <x:v>26</x:v>
      </x:c>
    </x:row>
    <x:row r="20" ht="15" hidden="0">
      <x:c r="A20" s="9" t="s">
        <x:v>27</x:v>
      </x:c>
      <x:c r="B20" s="10" t="s">
        <x:v>28</x:v>
      </x:c>
      <x:c r="C20" s="11" t="n">
        <x:v>100</x:v>
      </x:c>
      <x:c r="D20" s="12" t="s">
        <x:v>26</x:v>
      </x:c>
    </x:row>
    <x:row r="21" ht="15" hidden="0">
      <x:c r="A21" s="9" t="s">
        <x:v>29</x:v>
      </x:c>
      <x:c r="B21" s="10" t="s">
        <x:v>30</x:v>
      </x:c>
      <x:c r="C21" s="11" t="n">
        <x:v>0</x:v>
      </x:c>
      <x:c r="D21" s="12" t="str">
        <x:v>현재 A·B·C 방어력 (10 N항)</x:v>
      </x:c>
    </x:row>
    <x:row r="22" ht="15" hidden="0">
      <x:c r="A22" s="9" t="s">
        <x:v>31</x:v>
      </x:c>
      <x:c r="B22" s="10" t="s">
        <x:v>32</x:v>
      </x:c>
      <x:c r="C22" s="13" t="n">
        <x:f aca="0">C21/(C21+C20)</x:f>
        <x:v>0</x:v>
      </x:c>
      <x:c r="D22" s="10" t="s">
        <x:v>33</x:v>
      </x:c>
    </x:row>
    <x:row r="23" ht="15" hidden="0">
      <x:c r="A23" s="9" t="s">
        <x:v>34</x:v>
      </x:c>
      <x:c r="B23" s="10" t="s">
        <x:v>35</x:v>
      </x:c>
      <x:c r="C23" s="11" t="n">
        <x:v>0.8</x:v>
      </x:c>
      <x:c r="D23" s="12" t="s">
        <x:v>26</x:v>
      </x:c>
    </x:row>
    <x:row r="24" ht="15" hidden="0">
      <x:c r="A24" s="9" t="s">
        <x:v>36</x:v>
      </x:c>
      <x:c r="B24" s="10" t="s">
        <x:v>37</x:v>
      </x:c>
      <x:c r="C24" s="11" t="n">
        <x:v>10</x:v>
      </x:c>
      <x:c r="D24" s="12" t="s">
        <x:v>26</x:v>
      </x:c>
    </x:row>
    <x:row r="25" ht="15" hidden="0">
      <x:c r="A25" s="9" t="s">
        <x:v>38</x:v>
      </x:c>
      <x:c r="B25" s="12"/>
      <x:c r="C25" s="11" t="n">
        <x:v>3</x:v>
      </x:c>
      <x:c r="D25" s="12" t="s">
        <x:v>26</x:v>
      </x:c>
    </x:row>
    <x:row r="26" ht="29.850000381469727" hidden="0">
      <x:c r="A26" s="9" t="s">
        <x:v>39</x:v>
      </x:c>
      <x:c r="B26" s="10" t="s">
        <x:v>40</x:v>
      </x:c>
      <x:c r="C26" s="11" t="n">
        <x:v>0.4</x:v>
      </x:c>
      <x:c r="D26" s="10" t="s">
        <x:v>41</x:v>
      </x:c>
    </x:row>
    <x:row r="27" ht="15" hidden="0">
      <x:c r="A27" s="9" t="s">
        <x:v>42</x:v>
      </x:c>
      <x:c r="B27" s="10" t="s">
        <x:v>43</x:v>
      </x:c>
      <x:c r="C27" s="11" t="n">
        <x:v>45</x:v>
      </x:c>
      <x:c r="D27" s="12" t="s">
        <x:v>26</x:v>
      </x:c>
    </x:row>
    <x:row r="28" ht="15" hidden="0">
      <x:c r="A28" s="9" t="s">
        <x:v>44</x:v>
      </x:c>
      <x:c r="B28" s="10" t="s">
        <x:v>43</x:v>
      </x:c>
      <x:c r="C28" s="11" t="n">
        <x:v>180</x:v>
      </x:c>
      <x:c r="D28" s="12" t="s">
        <x:v>26</x:v>
      </x:c>
    </x:row>
    <x:row r="29" ht="15" hidden="0">
      <x:c r="A29" s="9" t="s">
        <x:v>45</x:v>
      </x:c>
      <x:c r="B29" s="10" t="s">
        <x:v>46</x:v>
      </x:c>
      <x:c r="C29" s="11" t="n">
        <x:v>3</x:v>
      </x:c>
      <x:c r="D29" s="10" t="s">
        <x:v>47</x:v>
      </x:c>
    </x:row>
    <x:row r="30" ht="15" hidden="0">
      <x:c r="A30" s="9" t="s">
        <x:v>48</x:v>
      </x:c>
      <x:c r="B30" s="10" t="s">
        <x:v>49</x:v>
      </x:c>
      <x:c r="C30" s="11" t="n">
        <x:v>2.25</x:v>
      </x:c>
      <x:c r="D30" s="10" t="s">
        <x:v>50</x:v>
      </x:c>
    </x:row>
    <x:row r="31" ht="15" hidden="0">
      <x:c r="A31" s="14" t="str">
        <x:v>수치 원본: Docs/10 결정 로그. 이 파일은 계산 도구이며 실측 결과와 구분합니다.</x:v>
      </x:c>
    </x:row>
    <x:row r="32" ht="15" hidden="0">
      <x:c r="A32" s="14" t="str">
        <x:v>2026-09-17: 계산 전제·접근 시간·빈 입력 표시 정정. 기록: 07 D-05.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6" hidden="0" customWidth="1"/>
    <x:col min="2" max="3" width="10" hidden="0" customWidth="1"/>
    <x:col min="4" max="4" width="12" hidden="0" customWidth="1"/>
    <x:col min="5" max="5" width="15" hidden="0" customWidth="1"/>
    <x:col min="6" max="6" width="56" hidden="0" customWidth="1"/>
  </x:cols>
  <x:sheetData>
    <x:row r="1" ht="16.149999618530273" hidden="0">
      <x:c r="A1" s="15" t="s">
        <x:v>51</x:v>
      </x:c>
    </x:row>
    <x:row r="2" ht="15" hidden="0">
      <x:c r="A2" s="2" t="str">
        <x:v>현재 프로토타입 조건. E열 기대 크리 배율 자동 계산.</x:v>
      </x:c>
    </x:row>
    <x:row r="4" ht="31.5" hidden="0" customHeight="1">
      <x:c r="A4" s="8" t="s">
        <x:v>52</x:v>
      </x:c>
      <x:c r="B4" s="16" t="s">
        <x:v>53</x:v>
      </x:c>
      <x:c r="C4" s="8" t="s">
        <x:v>54</x:v>
      </x:c>
      <x:c r="D4" s="8" t="str">
        <x:v>적용 크리율</x:v>
      </x:c>
      <x:c r="E4" s="8" t="s">
        <x:v>55</x:v>
      </x:c>
      <x:c r="F4" s="8" t="s">
        <x:v>56</x:v>
      </x:c>
    </x:row>
    <x:row r="5" ht="15" hidden="0" customHeight="1">
      <x:c r="A5" s="17" t="s">
        <x:v>57</x:v>
      </x:c>
      <x:c r="B5" s="17" t="n">
        <x:v>500</x:v>
      </x:c>
      <x:c r="C5" s="17" t="n">
        <x:v>20</x:v>
      </x:c>
      <x:c r="D5" s="18" t="n">
        <x:v>0</x:v>
      </x:c>
      <x:c r="E5" s="19" t="n">
        <x:f aca="0">IF(NOT(ISNUMBER(D5)),"",1+D5*('범례'!$C$19-1))</x:f>
        <x:v>1</x:v>
      </x:c>
      <x:c r="F5" s="34" t="str">
        <x:v>현재 크리 미구현(12). 계산 0%; 기획 15%는 10 참조.</x:v>
      </x:c>
    </x:row>
    <x:row r="6" ht="15" hidden="0">
      <x:c r="A6" s="17"/>
      <x:c r="B6" s="17"/>
      <x:c r="C6" s="17"/>
      <x:c r="D6" s="18"/>
      <x:c r="E6" s="19" t="str">
        <x:f aca="0">IF(NOT(ISNUMBER(D6)),"",1+D6*('범례'!$C$19-1))</x:f>
      </x:c>
      <x:c r="F6" s="20"/>
    </x:row>
    <x:row r="7" ht="15" hidden="0">
      <x:c r="A7" s="17"/>
      <x:c r="B7" s="17"/>
      <x:c r="C7" s="17"/>
      <x:c r="D7" s="18"/>
      <x:c r="E7" s="19" t="str">
        <x:f aca="0">IF(NOT(ISNUMBER(D7)),"",1+D7*('범례'!$C$19-1))</x:f>
      </x:c>
      <x:c r="F7" s="20"/>
    </x:row>
    <x:row r="9" ht="15" hidden="0">
      <x:c r="A9" s="21" t="s">
        <x:v>58</x:v>
      </x:c>
    </x:row>
    <x:row r="10" ht="15" hidden="0">
      <x:c r="A10" s="14" t="s">
        <x:v>59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8" hidden="0" customWidth="1"/>
    <x:col min="2" max="2" width="16" hidden="0" customWidth="1"/>
    <x:col min="3" max="3" width="12" hidden="0" customWidth="1"/>
    <x:col min="4" max="4" width="9" hidden="0" customWidth="1"/>
    <x:col min="5" max="5" width="12" hidden="0" customWidth="1"/>
    <x:col min="6" max="6" width="10" hidden="0" customWidth="1"/>
    <x:col min="7" max="7" width="8" hidden="0" customWidth="1"/>
    <x:col min="8" max="8" width="7" hidden="0" customWidth="1"/>
    <x:col min="9" max="9" width="10" hidden="0" customWidth="1"/>
    <x:col min="10" max="13" width="14" hidden="0" customWidth="1"/>
    <x:col min="14" max="14" width="13" hidden="0" customWidth="1"/>
    <x:col min="15" max="15" width="12" hidden="0" customWidth="1"/>
    <x:col min="16" max="16" width="10" hidden="0" customWidth="1"/>
    <x:col min="17" max="17" width="42" hidden="0" customWidth="1"/>
    <x:col min="18" max="19" width="13" hidden="0" customWidth="1"/>
  </x:cols>
  <x:sheetData>
    <x:row r="1" ht="20.100000381469727" hidden="0">
      <x:c r="A1" s="15" t="s">
        <x:v>60</x:v>
      </x:c>
    </x:row>
    <x:row r="2" ht="15" hidden="0">
      <x:c r="A2" s="2" t="s">
        <x:v>61</x:v>
      </x:c>
    </x:row>
    <x:row r="4" ht="31.5" hidden="0" customHeight="1">
      <x:c r="A4" s="16" t="s">
        <x:v>62</x:v>
      </x:c>
      <x:c r="B4" s="8" t="s">
        <x:v>63</x:v>
      </x:c>
      <x:c r="C4" s="8" t="s">
        <x:v>64</x:v>
      </x:c>
      <x:c r="D4" s="8" t="s">
        <x:v>65</x:v>
      </x:c>
      <x:c r="E4" s="8" t="s">
        <x:v>66</x:v>
      </x:c>
      <x:c r="F4" s="8" t="s">
        <x:v>67</x:v>
      </x:c>
      <x:c r="G4" s="8" t="s">
        <x:v>68</x:v>
      </x:c>
      <x:c r="H4" s="8" t="s">
        <x:v>69</x:v>
      </x:c>
      <x:c r="I4" s="8" t="s">
        <x:v>70</x:v>
      </x:c>
      <x:c r="J4" s="8" t="s">
        <x:v>71</x:v>
      </x:c>
      <x:c r="K4" s="8" t="s">
        <x:v>72</x:v>
      </x:c>
      <x:c r="L4" s="8" t="s">
        <x:v>73</x:v>
      </x:c>
      <x:c r="M4" s="8" t="s">
        <x:v>74</x:v>
      </x:c>
      <x:c r="N4" s="8" t="s">
        <x:v>75</x:v>
      </x:c>
      <x:c r="O4" s="8" t="s">
        <x:v>76</x:v>
      </x:c>
      <x:c r="P4" s="8" t="s">
        <x:v>77</x:v>
      </x:c>
      <x:c r="Q4" s="8" t="s">
        <x:v>78</x:v>
      </x:c>
      <x:c r="R4" s="8" t="s">
        <x:v>79</x:v>
      </x:c>
      <x:c r="S4" s="8" t="s">
        <x:v>80</x:v>
      </x:c>
    </x:row>
    <x:row r="5" ht="15" hidden="0">
      <x:c r="A5" s="11" t="s">
        <x:v>81</x:v>
      </x:c>
      <x:c r="B5" s="17" t="s">
        <x:v>82</x:v>
      </x:c>
      <x:c r="C5" s="17" t="s">
        <x:v>83</x:v>
      </x:c>
      <x:c r="D5" s="17" t="n">
        <x:v>3</x:v>
      </x:c>
      <x:c r="E5" s="17" t="n">
        <x:v>0.3</x:v>
      </x:c>
      <x:c r="F5" s="22" t="n">
        <x:f aca="0">IF(NOT(ISNUMBER(E5)),"",MAX(E5,'범례'!$C$26))</x:f>
        <x:v>0.4</x:v>
      </x:c>
      <x:c r="G5" s="17" t="n">
        <x:v>100</x:v>
      </x:c>
      <x:c r="H5" s="17" t="n">
        <x:v>1</x:v>
      </x:c>
      <x:c r="I5" s="19" t="n">
        <x:f aca="0">IF(NOT(ISNUMBER(G5)),"",G5*H5)</x:f>
        <x:v>100</x:v>
      </x:c>
      <x:c r="J5" s="23" t="n">
        <x:f aca="0">IF(NOT(ISNUMBER(I5)),"",I5*(1-'범례'!$C$22)*'직업'!$E$5)</x:f>
        <x:v>100</x:v>
      </x:c>
      <x:c r="K5" s="23" t="n">
        <x:f aca="0">IF(NOT(ISNUMBER(J5)),"",J5*IF(ISNUMBER(SEARCH("광역",$C5)),'범례'!$C$30,1))</x:f>
        <x:v>100</x:v>
      </x:c>
      <x:c r="L5" s="22" t="n">
        <x:f aca="0">IF(OR(NOT(ISNUMBER(J5)),NOT(ISNUMBER(D5)),D5=0),"",J5/D5)</x:f>
        <x:v>33.333333333333336</x:v>
      </x:c>
      <x:c r="M5" s="22" t="n">
        <x:f aca="0">IF(OR(NOT(ISNUMBER(K5)),NOT(ISNUMBER(D5)),D5=0),"",K5/D5)</x:f>
        <x:v>33.333333333333336</x:v>
      </x:c>
      <x:c r="N5" s="22" t="n">
        <x:f aca="0">IF(OR(NOT(ISNUMBER(K5)),NOT(ISNUMBER(F5)),F5=0),"",K5/F5)</x:f>
        <x:v>250</x:v>
      </x:c>
      <x:c r="O5" s="17"/>
      <x:c r="P5" s="17"/>
      <x:c r="Q5" s="20" t="s">
        <x:v>84</x:v>
      </x:c>
      <x:c r="R5" s="22" t="n">
        <x:f aca="0">IF(AND(LEFT($C5,1)="딜",ISNUMBER(M5)),M5,"")</x:f>
        <x:v>33.333333333333336</x:v>
      </x:c>
      <x:c r="S5" s="22" t="n">
        <x:f aca="0">IF(AND(LEFT($C5,1)="딜",ISNUMBER(N5)),N5,"")</x:f>
        <x:v>250</x:v>
      </x:c>
    </x:row>
    <x:row r="6" ht="15" hidden="0">
      <x:c r="A6" s="11" t="s">
        <x:v>85</x:v>
      </x:c>
      <x:c r="B6" s="17" t="s">
        <x:v>86</x:v>
      </x:c>
      <x:c r="C6" s="17" t="s">
        <x:v>83</x:v>
      </x:c>
      <x:c r="D6" s="17" t="n">
        <x:v>4</x:v>
      </x:c>
      <x:c r="E6" s="17" t="n">
        <x:v>0.3</x:v>
      </x:c>
      <x:c r="F6" s="22" t="n">
        <x:f aca="0">IF(NOT(ISNUMBER(E6)),"",MAX(E6,'범례'!$C$26))</x:f>
        <x:v>0.4</x:v>
      </x:c>
      <x:c r="G6" s="17" t="n">
        <x:v>120</x:v>
      </x:c>
      <x:c r="H6" s="17" t="n">
        <x:v>1</x:v>
      </x:c>
      <x:c r="I6" s="19" t="n">
        <x:f aca="0">IF(NOT(ISNUMBER(G6)),"",G6*H6)</x:f>
        <x:v>120</x:v>
      </x:c>
      <x:c r="J6" s="23" t="n">
        <x:f aca="0">IF(NOT(ISNUMBER(I6)),"",I6*(1-'범례'!$C$22)*'직업'!$E$5)</x:f>
        <x:v>120</x:v>
      </x:c>
      <x:c r="K6" s="23" t="n">
        <x:f aca="0">IF(NOT(ISNUMBER(J6)),"",J6*IF(ISNUMBER(SEARCH("광역",$C6)),'범례'!$C$30,1))</x:f>
        <x:v>120</x:v>
      </x:c>
      <x:c r="L6" s="22" t="n">
        <x:f aca="0">IF(OR(NOT(ISNUMBER(J6)),NOT(ISNUMBER(D6)),D6=0),"",J6/D6)</x:f>
        <x:v>30</x:v>
      </x:c>
      <x:c r="M6" s="22" t="n">
        <x:f aca="0">IF(OR(NOT(ISNUMBER(K6)),NOT(ISNUMBER(D6)),D6=0),"",K6/D6)</x:f>
        <x:v>30</x:v>
      </x:c>
      <x:c r="N6" s="22" t="n">
        <x:f aca="0">IF(OR(NOT(ISNUMBER(K6)),NOT(ISNUMBER(F6)),F6=0),"",K6/F6)</x:f>
        <x:v>300</x:v>
      </x:c>
      <x:c r="O6" s="17"/>
      <x:c r="P6" s="17"/>
      <x:c r="Q6" s="24" t="s">
        <x:v>87</x:v>
      </x:c>
      <x:c r="R6" s="22" t="n">
        <x:f aca="0">IF(AND(LEFT($C6,1)="딜",ISNUMBER(M6)),M6,"")</x:f>
        <x:v>30</x:v>
      </x:c>
      <x:c r="S6" s="22" t="n">
        <x:f aca="0">IF(AND(LEFT($C6,1)="딜",ISNUMBER(N6)),N6,"")</x:f>
        <x:v>300</x:v>
      </x:c>
    </x:row>
    <x:row r="7" ht="15" hidden="0">
      <x:c r="A7" s="11" t="s">
        <x:v>88</x:v>
      </x:c>
      <x:c r="B7" s="17" t="s">
        <x:v>89</x:v>
      </x:c>
      <x:c r="C7" s="17" t="s">
        <x:v>90</x:v>
      </x:c>
      <x:c r="D7" s="17" t="n">
        <x:v>3</x:v>
      </x:c>
      <x:c r="E7" s="17" t="n">
        <x:v>0.2</x:v>
      </x:c>
      <x:c r="F7" s="22" t="n">
        <x:f aca="0">IF(NOT(ISNUMBER(E7)),"",MAX(E7,'범례'!$C$26))</x:f>
        <x:v>0.4</x:v>
      </x:c>
      <x:c r="G7" s="17" t="n">
        <x:v>0</x:v>
      </x:c>
      <x:c r="H7" s="17" t="n">
        <x:v>1</x:v>
      </x:c>
      <x:c r="I7" s="19" t="n">
        <x:f aca="0">IF(NOT(ISNUMBER(G7)),"",G7*H7)</x:f>
        <x:v>0</x:v>
      </x:c>
      <x:c r="J7" s="23" t="n">
        <x:f aca="0">IF(NOT(ISNUMBER(I7)),"",I7*(1-'범례'!$C$22)*'직업'!$E$5)</x:f>
        <x:v>0</x:v>
      </x:c>
      <x:c r="K7" s="23" t="n">
        <x:f aca="0">IF(NOT(ISNUMBER(J7)),"",J7*IF(ISNUMBER(SEARCH("광역",$C7)),'범례'!$C$30,1))</x:f>
        <x:v>0</x:v>
      </x:c>
      <x:c r="L7" s="22" t="n">
        <x:f aca="0">IF(OR(NOT(ISNUMBER(J7)),NOT(ISNUMBER(D7)),D7=0),"",J7/D7)</x:f>
        <x:v>0</x:v>
      </x:c>
      <x:c r="M7" s="22" t="n">
        <x:f aca="0">IF(OR(NOT(ISNUMBER(K7)),NOT(ISNUMBER(D7)),D7=0),"",K7/D7)</x:f>
        <x:v>0</x:v>
      </x:c>
      <x:c r="N7" s="22" t="n">
        <x:f aca="0">IF(OR(NOT(ISNUMBER(K7)),NOT(ISNUMBER(F7)),F7=0),"",K7/F7)</x:f>
        <x:v>0</x:v>
      </x:c>
      <x:c r="O7" s="17" t="n">
        <x:v>120</x:v>
      </x:c>
      <x:c r="P7" s="17"/>
      <x:c r="Q7" s="24" t="s">
        <x:v>91</x:v>
      </x:c>
      <x:c r="R7" s="22" t="str">
        <x:f aca="0">IF(AND(LEFT($C7,1)="딜",ISNUMBER(M7)),M7,"")</x:f>
      </x:c>
      <x:c r="S7" s="22" t="str">
        <x:f aca="0">IF(AND(LEFT($C7,1)="딜",ISNUMBER(N7)),N7,"")</x:f>
      </x:c>
    </x:row>
    <x:row r="8" ht="15" hidden="0">
      <x:c r="A8" s="11" t="s">
        <x:v>92</x:v>
      </x:c>
      <x:c r="B8" s="17" t="s">
        <x:v>93</x:v>
      </x:c>
      <x:c r="C8" s="17" t="s">
        <x:v>94</x:v>
      </x:c>
      <x:c r="D8" s="17">
        <x:v>2</x:v>
      </x:c>
      <x:c r="E8" s="17" t="n">
        <x:v>0.2</x:v>
      </x:c>
      <x:c r="F8" s="22" t="n">
        <x:f aca="0">IF(NOT(ISNUMBER(E8)),"",MAX(E8,'범례'!$C$26))</x:f>
        <x:v>0.4</x:v>
      </x:c>
      <x:c r="G8" s="17" t="n">
        <x:v>0</x:v>
      </x:c>
      <x:c r="H8" s="17" t="n">
        <x:v>1</x:v>
      </x:c>
      <x:c r="I8" s="19" t="n">
        <x:f aca="0">IF(NOT(ISNUMBER(G8)),"",G8*H8)</x:f>
        <x:v>0</x:v>
      </x:c>
      <x:c r="J8" s="23" t="n">
        <x:f aca="0">IF(NOT(ISNUMBER(I8)),"",I8*(1-'범례'!$C$22)*'직업'!$E$5)</x:f>
        <x:v>0</x:v>
      </x:c>
      <x:c r="K8" s="23" t="n">
        <x:f aca="0">IF(NOT(ISNUMBER(J8)),"",J8*IF(ISNUMBER(SEARCH("광역",$C8)),'범례'!$C$30,1))</x:f>
        <x:v>0</x:v>
      </x:c>
      <x:c r="L8" s="22" t="n">
        <x:f aca="0">IF(OR(NOT(ISNUMBER(J8)),NOT(ISNUMBER(D8)),D8=0),"",J8/D8)</x:f>
        <x:v>0</x:v>
      </x:c>
      <x:c r="M8" s="22" t="n">
        <x:f aca="0">IF(OR(NOT(ISNUMBER(K8)),NOT(ISNUMBER(D8)),D8=0),"",K8/D8)</x:f>
        <x:v>0</x:v>
      </x:c>
      <x:c r="N8" s="22" t="n">
        <x:f aca="0">IF(OR(NOT(ISNUMBER(K8)),NOT(ISNUMBER(F8)),F8=0),"",K8/F8)</x:f>
        <x:v>0</x:v>
      </x:c>
      <x:c r="O8" s="17"/>
      <x:c r="P8" s="17">
        <x:v>2.5</x:v>
      </x:c>
      <x:c r="Q8" s="24" t="str">
        <x:v>구현·검증 기록: 07 D-04. 사양: 10 A14~A16.</x:v>
      </x:c>
      <x:c r="R8" s="22" t="str">
        <x:f aca="0">IF(AND(LEFT($C8,1)="딜",ISNUMBER(M8)),M8,"")</x:f>
      </x:c>
      <x:c r="S8" s="22" t="str">
        <x:f aca="0">IF(AND(LEFT($C8,1)="딜",ISNUMBER(N8)),N8,"")</x:f>
      </x:c>
    </x:row>
    <x:row r="9" ht="15" hidden="0">
      <x:c r="A9" s="11" t="s">
        <x:v>95</x:v>
      </x:c>
      <x:c r="B9" s="17" t="s">
        <x:v>96</x:v>
      </x:c>
      <x:c r="C9" s="17" t="s">
        <x:v>83</x:v>
      </x:c>
      <x:c r="D9" s="17" t="n">
        <x:v>6</x:v>
      </x:c>
      <x:c r="E9" s="17" t="n">
        <x:v>1</x:v>
      </x:c>
      <x:c r="F9" s="22" t="n">
        <x:f aca="0">IF(NOT(ISNUMBER(E9)),"",MAX(E9,'범례'!$C$26))</x:f>
        <x:v>1</x:v>
      </x:c>
      <x:c r="G9" s="17" t="n">
        <x:v>50</x:v>
      </x:c>
      <x:c r="H9" s="17" t="n">
        <x:v>3</x:v>
      </x:c>
      <x:c r="I9" s="19" t="n">
        <x:f aca="0">IF(NOT(ISNUMBER(G9)),"",G9*H9)</x:f>
        <x:v>150</x:v>
      </x:c>
      <x:c r="J9" s="23" t="n">
        <x:f aca="0">IF(NOT(ISNUMBER(I9)),"",I9*(1-'범례'!$C$22)*'직업'!$E$5)</x:f>
        <x:v>150</x:v>
      </x:c>
      <x:c r="K9" s="23" t="n">
        <x:f aca="0">IF(NOT(ISNUMBER(J9)),"",J9*IF(ISNUMBER(SEARCH("광역",$C9)),'범례'!$C$30,1))</x:f>
        <x:v>150</x:v>
      </x:c>
      <x:c r="L9" s="22" t="n">
        <x:f aca="0">IF(OR(NOT(ISNUMBER(J9)),NOT(ISNUMBER(D9)),D9=0),"",J9/D9)</x:f>
        <x:v>25</x:v>
      </x:c>
      <x:c r="M9" s="22" t="n">
        <x:f aca="0">IF(OR(NOT(ISNUMBER(K9)),NOT(ISNUMBER(D9)),D9=0),"",K9/D9)</x:f>
        <x:v>25</x:v>
      </x:c>
      <x:c r="N9" s="22" t="n">
        <x:f aca="0">IF(OR(NOT(ISNUMBER(K9)),NOT(ISNUMBER(F9)),F9=0),"",K9/F9)</x:f>
        <x:v>150</x:v>
      </x:c>
      <x:c r="O9" s="17"/>
      <x:c r="P9" s="17"/>
      <x:c r="Q9" s="24" t="s">
        <x:v>97</x:v>
      </x:c>
      <x:c r="R9" s="22" t="n">
        <x:f aca="0">IF(AND(LEFT($C9,1)="딜",ISNUMBER(M9)),M9,"")</x:f>
        <x:v>25</x:v>
      </x:c>
      <x:c r="S9" s="22" t="n">
        <x:f aca="0">IF(AND(LEFT($C9,1)="딜",ISNUMBER(N9)),N9,"")</x:f>
        <x:v>150</x:v>
      </x:c>
    </x:row>
    <x:row r="10" ht="15" hidden="0">
      <x:c r="A10" s="11" t="s">
        <x:v>98</x:v>
      </x:c>
      <x:c r="B10" s="17" t="s">
        <x:v>99</x:v>
      </x:c>
      <x:c r="C10" s="17" t="s">
        <x:v>83</x:v>
      </x:c>
      <x:c r="D10" s="17" t="n">
        <x:v>5</x:v>
      </x:c>
      <x:c r="E10" s="17" t="n">
        <x:v>0.8</x:v>
      </x:c>
      <x:c r="F10" s="22" t="n">
        <x:f aca="0">IF(NOT(ISNUMBER(E10)),"",MAX(E10,'범례'!$C$26))</x:f>
        <x:v>0.8</x:v>
      </x:c>
      <x:c r="G10" s="17" t="n">
        <x:v>110</x:v>
      </x:c>
      <x:c r="H10" s="17" t="n">
        <x:v>1</x:v>
      </x:c>
      <x:c r="I10" s="19" t="n">
        <x:f aca="0">IF(NOT(ISNUMBER(G10)),"",G10*H10)</x:f>
        <x:v>110</x:v>
      </x:c>
      <x:c r="J10" s="23" t="n">
        <x:f aca="0">IF(NOT(ISNUMBER(I10)),"",I10*(1-'범례'!$C$22)*'직업'!$E$5)</x:f>
        <x:v>110</x:v>
      </x:c>
      <x:c r="K10" s="23" t="n">
        <x:f aca="0">IF(NOT(ISNUMBER(J10)),"",J10*IF(ISNUMBER(SEARCH("광역",$C10)),'범례'!$C$30,1))</x:f>
        <x:v>110</x:v>
      </x:c>
      <x:c r="L10" s="22" t="n">
        <x:f aca="0">IF(OR(NOT(ISNUMBER(J10)),NOT(ISNUMBER(D10)),D10=0),"",J10/D10)</x:f>
        <x:v>22</x:v>
      </x:c>
      <x:c r="M10" s="22" t="n">
        <x:f aca="0">IF(OR(NOT(ISNUMBER(K10)),NOT(ISNUMBER(D10)),D10=0),"",K10/D10)</x:f>
        <x:v>22</x:v>
      </x:c>
      <x:c r="N10" s="22" t="n">
        <x:f aca="0">IF(OR(NOT(ISNUMBER(K10)),NOT(ISNUMBER(F10)),F10=0),"",K10/F10)</x:f>
        <x:v>137.5</x:v>
      </x:c>
      <x:c r="O10" s="17"/>
      <x:c r="P10" s="17"/>
      <x:c r="Q10" s="24" t="s">
        <x:v>100</x:v>
      </x:c>
      <x:c r="R10" s="22" t="n">
        <x:f aca="0">IF(AND(LEFT($C10,1)="딜",ISNUMBER(M10)),M10,"")</x:f>
        <x:v>22</x:v>
      </x:c>
      <x:c r="S10" s="22" t="n">
        <x:f aca="0">IF(AND(LEFT($C10,1)="딜",ISNUMBER(N10)),N10,"")</x:f>
        <x:v>137.5</x:v>
      </x:c>
    </x:row>
    <x:row r="11" ht="15" hidden="0">
      <x:c r="A11" s="11" t="s">
        <x:v>101</x:v>
      </x:c>
      <x:c r="B11" s="17" t="s">
        <x:v>102</x:v>
      </x:c>
      <x:c r="C11" s="17" t="s">
        <x:v>83</x:v>
      </x:c>
      <x:c r="D11" s="17" t="n">
        <x:v>5</x:v>
      </x:c>
      <x:c r="E11" s="17" t="n">
        <x:v>0.6</x:v>
      </x:c>
      <x:c r="F11" s="22" t="n">
        <x:f aca="0">IF(NOT(ISNUMBER(E11)),"",MAX(E11,'범례'!$C$26))</x:f>
        <x:v>0.6</x:v>
      </x:c>
      <x:c r="G11" s="17" t="n">
        <x:v>150</x:v>
      </x:c>
      <x:c r="H11" s="17" t="n">
        <x:v>1</x:v>
      </x:c>
      <x:c r="I11" s="19" t="n">
        <x:f aca="0">IF(NOT(ISNUMBER(G11)),"",G11*H11)</x:f>
        <x:v>150</x:v>
      </x:c>
      <x:c r="J11" s="23" t="n">
        <x:f aca="0">IF(NOT(ISNUMBER(I11)),"",I11*(1-'범례'!$C$22)*'직업'!$E$5)</x:f>
        <x:v>150</x:v>
      </x:c>
      <x:c r="K11" s="23" t="n">
        <x:f aca="0">IF(NOT(ISNUMBER(J11)),"",J11*IF(ISNUMBER(SEARCH("광역",$C11)),'범례'!$C$30,1))</x:f>
        <x:v>150</x:v>
      </x:c>
      <x:c r="L11" s="22" t="n">
        <x:f aca="0">IF(OR(NOT(ISNUMBER(J11)),NOT(ISNUMBER(D11)),D11=0),"",J11/D11)</x:f>
        <x:v>30</x:v>
      </x:c>
      <x:c r="M11" s="22" t="n">
        <x:f aca="0">IF(OR(NOT(ISNUMBER(K11)),NOT(ISNUMBER(D11)),D11=0),"",K11/D11)</x:f>
        <x:v>30</x:v>
      </x:c>
      <x:c r="N11" s="22" t="n">
        <x:f aca="0">IF(OR(NOT(ISNUMBER(K11)),NOT(ISNUMBER(F11)),F11=0),"",K11/F11)</x:f>
        <x:v>250</x:v>
      </x:c>
      <x:c r="O11" s="17"/>
      <x:c r="P11" s="17"/>
      <x:c r="Q11" s="24" t="s">
        <x:v>103</x:v>
      </x:c>
      <x:c r="R11" s="22" t="n">
        <x:f aca="0">IF(AND(LEFT($C11,1)="딜",ISNUMBER(M11)),M11,"")</x:f>
        <x:v>30</x:v>
      </x:c>
      <x:c r="S11" s="22" t="n">
        <x:f aca="0">IF(AND(LEFT($C11,1)="딜",ISNUMBER(N11)),N11,"")</x:f>
        <x:v>250</x:v>
      </x:c>
    </x:row>
    <x:row r="12" ht="15" hidden="0">
      <x:c r="A12" s="11" t="s">
        <x:v>104</x:v>
      </x:c>
      <x:c r="B12" s="17" t="s">
        <x:v>105</x:v>
      </x:c>
      <x:c r="C12" s="17" t="s">
        <x:v>83</x:v>
      </x:c>
      <x:c r="D12" s="17" t="n">
        <x:v>7</x:v>
      </x:c>
      <x:c r="E12" s="17" t="n">
        <x:v>1.2</x:v>
      </x:c>
      <x:c r="F12" s="22" t="n">
        <x:f aca="0">IF(NOT(ISNUMBER(E12)),"",MAX(E12,'범례'!$C$26))</x:f>
        <x:v>1.2</x:v>
      </x:c>
      <x:c r="G12" s="17" t="n">
        <x:v>90</x:v>
      </x:c>
      <x:c r="H12" s="17" t="n">
        <x:v>2</x:v>
      </x:c>
      <x:c r="I12" s="19" t="n">
        <x:f aca="0">IF(NOT(ISNUMBER(G12)),"",G12*H12)</x:f>
        <x:v>180</x:v>
      </x:c>
      <x:c r="J12" s="23" t="n">
        <x:f aca="0">IF(NOT(ISNUMBER(I12)),"",I12*(1-'범례'!$C$22)*'직업'!$E$5)</x:f>
        <x:v>180</x:v>
      </x:c>
      <x:c r="K12" s="23" t="n">
        <x:f aca="0">IF(NOT(ISNUMBER(J12)),"",J12*IF(ISNUMBER(SEARCH("광역",$C12)),'범례'!$C$30,1))</x:f>
        <x:v>180</x:v>
      </x:c>
      <x:c r="L12" s="22" t="n">
        <x:f aca="0">IF(OR(NOT(ISNUMBER(J12)),NOT(ISNUMBER(D12)),D12=0),"",J12/D12)</x:f>
        <x:v>25.714285714285715</x:v>
      </x:c>
      <x:c r="M12" s="22" t="n">
        <x:f aca="0">IF(OR(NOT(ISNUMBER(K12)),NOT(ISNUMBER(D12)),D12=0),"",K12/D12)</x:f>
        <x:v>25.714285714285715</x:v>
      </x:c>
      <x:c r="N12" s="22" t="n">
        <x:f aca="0">IF(OR(NOT(ISNUMBER(K12)),NOT(ISNUMBER(F12)),F12=0),"",K12/F12)</x:f>
        <x:v>150</x:v>
      </x:c>
      <x:c r="O12" s="17"/>
      <x:c r="P12" s="17"/>
      <x:c r="Q12" s="24" t="s">
        <x:v>106</x:v>
      </x:c>
      <x:c r="R12" s="22" t="n">
        <x:f aca="0">IF(AND(LEFT($C12,1)="딜",ISNUMBER(M12)),M12,"")</x:f>
        <x:v>25.714285714285715</x:v>
      </x:c>
      <x:c r="S12" s="22" t="n">
        <x:f aca="0">IF(AND(LEFT($C12,1)="딜",ISNUMBER(N12)),N12,"")</x:f>
        <x:v>150</x:v>
      </x:c>
    </x:row>
    <x:row r="13" ht="15" hidden="0">
      <x:c r="A13" s="17"/>
      <x:c r="B13" s="17"/>
      <x:c r="C13" s="17"/>
      <x:c r="D13" s="17"/>
      <x:c r="E13" s="17"/>
      <x:c r="F13" s="22" t="str">
        <x:f aca="0">IF(NOT(ISNUMBER(E13)),"",MAX(E13,'범례'!$C$26))</x:f>
      </x:c>
      <x:c r="G13" s="17"/>
      <x:c r="H13" s="17"/>
      <x:c r="I13" s="19" t="str">
        <x:f aca="0">IF(NOT(ISNUMBER(G13)),"",G13*H13)</x:f>
      </x:c>
      <x:c r="J13" s="23" t="str">
        <x:f aca="0">IF(NOT(ISNUMBER(I13)),"",I13*(1-'범례'!$C$22)*'직업'!$E$5)</x:f>
      </x:c>
      <x:c r="K13" s="23" t="str">
        <x:f aca="0">IF(NOT(ISNUMBER(J13)),"",J13*IF(ISNUMBER(SEARCH("광역",$C13)),'범례'!$C$30,1))</x:f>
      </x:c>
      <x:c r="L13" s="22" t="str">
        <x:f aca="0">IF(OR(NOT(ISNUMBER(J13)),NOT(ISNUMBER(D13)),D13=0),"",J13/D13)</x:f>
      </x:c>
      <x:c r="M13" s="22" t="str">
        <x:f aca="0">IF(OR(NOT(ISNUMBER(K13)),NOT(ISNUMBER(D13)),D13=0),"",K13/D13)</x:f>
      </x:c>
      <x:c r="N13" s="22" t="str">
        <x:f aca="0">IF(OR(NOT(ISNUMBER(K13)),NOT(ISNUMBER(F13)),F13=0),"",K13/F13)</x:f>
      </x:c>
      <x:c r="O13" s="17"/>
      <x:c r="P13" s="17"/>
      <x:c r="Q13" s="20"/>
      <x:c r="R13" s="22" t="str">
        <x:f aca="0">IF(AND(LEFT($C13,1)="딜",ISNUMBER(M13)),M13,"")</x:f>
      </x:c>
      <x:c r="S13" s="22" t="str">
        <x:f aca="0">IF(AND(LEFT($C13,1)="딜",ISNUMBER(N13)),N13,"")</x:f>
      </x:c>
    </x:row>
    <x:row r="14" ht="15" hidden="0">
      <x:c r="A14" s="17"/>
      <x:c r="B14" s="17"/>
      <x:c r="C14" s="17"/>
      <x:c r="D14" s="17"/>
      <x:c r="E14" s="17"/>
      <x:c r="F14" s="22" t="str">
        <x:f aca="0">IF(NOT(ISNUMBER(E14)),"",MAX(E14,'범례'!$C$26))</x:f>
      </x:c>
      <x:c r="G14" s="17"/>
      <x:c r="H14" s="17"/>
      <x:c r="I14" s="19" t="str">
        <x:f aca="0">IF(NOT(ISNUMBER(G14)),"",G14*H14)</x:f>
      </x:c>
      <x:c r="J14" s="23" t="str">
        <x:f aca="0">IF(NOT(ISNUMBER(I14)),"",I14*(1-'범례'!$C$22)*'직업'!$E$5)</x:f>
      </x:c>
      <x:c r="K14" s="23" t="str">
        <x:f aca="0">IF(NOT(ISNUMBER(J14)),"",J14*IF(ISNUMBER(SEARCH("광역",$C14)),'범례'!$C$30,1))</x:f>
      </x:c>
      <x:c r="L14" s="22" t="str">
        <x:f aca="0">IF(OR(NOT(ISNUMBER(J14)),NOT(ISNUMBER(D14)),D14=0),"",J14/D14)</x:f>
      </x:c>
      <x:c r="M14" s="22" t="str">
        <x:f aca="0">IF(OR(NOT(ISNUMBER(K14)),NOT(ISNUMBER(D14)),D14=0),"",K14/D14)</x:f>
      </x:c>
      <x:c r="N14" s="22" t="str">
        <x:f aca="0">IF(OR(NOT(ISNUMBER(K14)),NOT(ISNUMBER(F14)),F14=0),"",K14/F14)</x:f>
      </x:c>
      <x:c r="O14" s="17"/>
      <x:c r="P14" s="17"/>
      <x:c r="Q14" s="20"/>
      <x:c r="R14" s="22" t="str">
        <x:f aca="0">IF(AND(LEFT($C14,1)="딜",ISNUMBER(M14)),M14,"")</x:f>
      </x:c>
      <x:c r="S14" s="22" t="str">
        <x:f aca="0">IF(AND(LEFT($C14,1)="딜",ISNUMBER(N14)),N14,"")</x:f>
      </x:c>
    </x:row>
    <x:row r="15" ht="15" hidden="0">
      <x:c r="A15" s="17"/>
      <x:c r="B15" s="17"/>
      <x:c r="C15" s="17"/>
      <x:c r="D15" s="17"/>
      <x:c r="E15" s="17"/>
      <x:c r="F15" s="22" t="str">
        <x:f aca="0">IF(NOT(ISNUMBER(E15)),"",MAX(E15,'범례'!$C$26))</x:f>
      </x:c>
      <x:c r="G15" s="17"/>
      <x:c r="H15" s="17"/>
      <x:c r="I15" s="19" t="str">
        <x:f aca="0">IF(NOT(ISNUMBER(G15)),"",G15*H15)</x:f>
      </x:c>
      <x:c r="J15" s="23" t="str">
        <x:f aca="0">IF(NOT(ISNUMBER(I15)),"",I15*(1-'범례'!$C$22)*'직업'!$E$5)</x:f>
      </x:c>
      <x:c r="K15" s="23" t="str">
        <x:f aca="0">IF(NOT(ISNUMBER(J15)),"",J15*IF(ISNUMBER(SEARCH("광역",$C15)),'범례'!$C$30,1))</x:f>
      </x:c>
      <x:c r="L15" s="22" t="str">
        <x:f aca="0">IF(OR(NOT(ISNUMBER(J15)),NOT(ISNUMBER(D15)),D15=0),"",J15/D15)</x:f>
      </x:c>
      <x:c r="M15" s="22" t="str">
        <x:f aca="0">IF(OR(NOT(ISNUMBER(K15)),NOT(ISNUMBER(D15)),D15=0),"",K15/D15)</x:f>
      </x:c>
      <x:c r="N15" s="22" t="str">
        <x:f aca="0">IF(OR(NOT(ISNUMBER(K15)),NOT(ISNUMBER(F15)),F15=0),"",K15/F15)</x:f>
      </x:c>
      <x:c r="O15" s="17"/>
      <x:c r="P15" s="17"/>
      <x:c r="Q15" s="20"/>
      <x:c r="R15" s="22" t="str">
        <x:f aca="0">IF(AND(LEFT($C15,1)="딜",ISNUMBER(M15)),M15,"")</x:f>
      </x:c>
      <x:c r="S15" s="22" t="str">
        <x:f aca="0">IF(AND(LEFT($C15,1)="딜",ISNUMBER(N15)),N15,"")</x:f>
      </x:c>
    </x:row>
    <x:row r="16" ht="15" hidden="0">
      <x:c r="A16" s="17"/>
      <x:c r="B16" s="17"/>
      <x:c r="C16" s="17"/>
      <x:c r="D16" s="17"/>
      <x:c r="E16" s="17"/>
      <x:c r="F16" s="22" t="str">
        <x:f aca="0">IF(NOT(ISNUMBER(E16)),"",MAX(E16,'범례'!$C$26))</x:f>
      </x:c>
      <x:c r="G16" s="17"/>
      <x:c r="H16" s="17"/>
      <x:c r="I16" s="19" t="str">
        <x:f aca="0">IF(NOT(ISNUMBER(G16)),"",G16*H16)</x:f>
      </x:c>
      <x:c r="J16" s="23" t="str">
        <x:f aca="0">IF(NOT(ISNUMBER(I16)),"",I16*(1-'범례'!$C$22)*'직업'!$E$5)</x:f>
      </x:c>
      <x:c r="K16" s="23" t="str">
        <x:f aca="0">IF(NOT(ISNUMBER(J16)),"",J16*IF(ISNUMBER(SEARCH("광역",$C16)),'범례'!$C$30,1))</x:f>
      </x:c>
      <x:c r="L16" s="22" t="str">
        <x:f aca="0">IF(OR(NOT(ISNUMBER(J16)),NOT(ISNUMBER(D16)),D16=0),"",J16/D16)</x:f>
      </x:c>
      <x:c r="M16" s="22" t="str">
        <x:f aca="0">IF(OR(NOT(ISNUMBER(K16)),NOT(ISNUMBER(D16)),D16=0),"",K16/D16)</x:f>
      </x:c>
      <x:c r="N16" s="22" t="str">
        <x:f aca="0">IF(OR(NOT(ISNUMBER(K16)),NOT(ISNUMBER(F16)),F16=0),"",K16/F16)</x:f>
      </x:c>
      <x:c r="O16" s="17"/>
      <x:c r="P16" s="17"/>
      <x:c r="Q16" s="20"/>
      <x:c r="R16" s="22" t="str">
        <x:f aca="0">IF(AND(LEFT($C16,1)="딜",ISNUMBER(M16)),M16,"")</x:f>
      </x:c>
      <x:c r="S16" s="22" t="str">
        <x:f aca="0">IF(AND(LEFT($C16,1)="딜",ISNUMBER(N16)),N16,"")</x:f>
      </x:c>
    </x:row>
    <x:row r="17" ht="15" hidden="0">
      <x:c r="A17" s="17"/>
      <x:c r="B17" s="17"/>
      <x:c r="C17" s="17"/>
      <x:c r="D17" s="17"/>
      <x:c r="E17" s="17"/>
      <x:c r="F17" s="22" t="str">
        <x:f aca="0">IF(NOT(ISNUMBER(E17)),"",MAX(E17,'범례'!$C$26))</x:f>
      </x:c>
      <x:c r="G17" s="17"/>
      <x:c r="H17" s="17"/>
      <x:c r="I17" s="19" t="str">
        <x:f aca="0">IF(NOT(ISNUMBER(G17)),"",G17*H17)</x:f>
      </x:c>
      <x:c r="J17" s="23" t="str">
        <x:f aca="0">IF(NOT(ISNUMBER(I17)),"",I17*(1-'범례'!$C$22)*'직업'!$E$5)</x:f>
      </x:c>
      <x:c r="K17" s="23" t="str">
        <x:f aca="0">IF(NOT(ISNUMBER(J17)),"",J17*IF(ISNUMBER(SEARCH("광역",$C17)),'범례'!$C$30,1))</x:f>
      </x:c>
      <x:c r="L17" s="22" t="str">
        <x:f aca="0">IF(OR(NOT(ISNUMBER(J17)),NOT(ISNUMBER(D17)),D17=0),"",J17/D17)</x:f>
      </x:c>
      <x:c r="M17" s="22" t="str">
        <x:f aca="0">IF(OR(NOT(ISNUMBER(K17)),NOT(ISNUMBER(D17)),D17=0),"",K17/D17)</x:f>
      </x:c>
      <x:c r="N17" s="22" t="str">
        <x:f aca="0">IF(OR(NOT(ISNUMBER(K17)),NOT(ISNUMBER(F17)),F17=0),"",K17/F17)</x:f>
      </x:c>
      <x:c r="O17" s="17"/>
      <x:c r="P17" s="17"/>
      <x:c r="Q17" s="20"/>
      <x:c r="R17" s="22" t="str">
        <x:f aca="0">IF(AND(LEFT($C17,1)="딜",ISNUMBER(M17)),M17,"")</x:f>
      </x:c>
      <x:c r="S17" s="22" t="str">
        <x:f aca="0">IF(AND(LEFT($C17,1)="딜",ISNUMBER(N17)),N17,"")</x:f>
      </x:c>
    </x:row>
    <x:row r="18" ht="15" hidden="0">
      <x:c r="A18" s="17"/>
      <x:c r="B18" s="17"/>
      <x:c r="C18" s="17"/>
      <x:c r="D18" s="17"/>
      <x:c r="E18" s="17"/>
      <x:c r="F18" s="22" t="str">
        <x:f aca="0">IF(NOT(ISNUMBER(E18)),"",MAX(E18,'범례'!$C$26))</x:f>
      </x:c>
      <x:c r="G18" s="17"/>
      <x:c r="H18" s="17"/>
      <x:c r="I18" s="19" t="str">
        <x:f aca="0">IF(NOT(ISNUMBER(G18)),"",G18*H18)</x:f>
      </x:c>
      <x:c r="J18" s="23" t="str">
        <x:f aca="0">IF(NOT(ISNUMBER(I18)),"",I18*(1-'범례'!$C$22)*'직업'!$E$5)</x:f>
      </x:c>
      <x:c r="K18" s="23" t="str">
        <x:f aca="0">IF(NOT(ISNUMBER(J18)),"",J18*IF(ISNUMBER(SEARCH("광역",$C18)),'범례'!$C$30,1))</x:f>
      </x:c>
      <x:c r="L18" s="22" t="str">
        <x:f aca="0">IF(OR(NOT(ISNUMBER(J18)),NOT(ISNUMBER(D18)),D18=0),"",J18/D18)</x:f>
      </x:c>
      <x:c r="M18" s="22" t="str">
        <x:f aca="0">IF(OR(NOT(ISNUMBER(K18)),NOT(ISNUMBER(D18)),D18=0),"",K18/D18)</x:f>
      </x:c>
      <x:c r="N18" s="22" t="str">
        <x:f aca="0">IF(OR(NOT(ISNUMBER(K18)),NOT(ISNUMBER(F18)),F18=0),"",K18/F18)</x:f>
      </x:c>
      <x:c r="O18" s="17"/>
      <x:c r="P18" s="17"/>
      <x:c r="Q18" s="20"/>
      <x:c r="R18" s="22" t="str">
        <x:f aca="0">IF(AND(LEFT($C18,1)="딜",ISNUMBER(M18)),M18,"")</x:f>
      </x:c>
      <x:c r="S18" s="22" t="str">
        <x:f aca="0">IF(AND(LEFT($C18,1)="딜",ISNUMBER(N18)),N18,"")</x:f>
      </x:c>
    </x:row>
    <x:row r="22" ht="15" hidden="0">
      <x:c r="A22" s="3" t="s">
        <x:v>107</x:v>
      </x:c>
    </x:row>
    <x:row r="23" ht="29.850000381469727" hidden="0">
      <x:c r="A23" s="10" t="s">
        <x:v>108</x:v>
      </x:c>
      <x:c r="B23" s="22" t="n">
        <x:f aca="0">IFERROR(MAX(R5:R18),"")</x:f>
        <x:v>33.333333333333336</x:v>
      </x:c>
      <x:c r="C23" s="25" t="s">
        <x:v>109</x:v>
      </x:c>
    </x:row>
    <x:row r="24" ht="29.850000381469727" hidden="0">
      <x:c r="A24" s="10" t="s">
        <x:v>110</x:v>
      </x:c>
      <x:c r="B24" s="22" t="n">
        <x:f aca="0">IFERROR(MIN(R5:R18),"")</x:f>
        <x:v>22</x:v>
      </x:c>
      <x:c r="C24" s="25"/>
    </x:row>
    <x:row r="25" ht="29.850000381469727" hidden="0">
      <x:c r="A25" s="10" t="s">
        <x:v>111</x:v>
      </x:c>
      <x:c r="B25" s="19" t="n">
        <x:f aca="0">IFERROR(B23/B24,"")</x:f>
        <x:v>1.5151515151515154</x:v>
      </x:c>
      <x:c r="C25" s="25" t="s">
        <x:v>112</x:v>
      </x:c>
    </x:row>
    <x:row r="26" ht="29.850000381469727" hidden="0">
      <x:c r="A26" s="10" t="s">
        <x:v>113</x:v>
      </x:c>
      <x:c r="B26" s="22" t="n">
        <x:f aca="0">IFERROR(MAX(S5:S18),"")</x:f>
        <x:v>300</x:v>
      </x:c>
      <x:c r="C26" s="25" t="s">
        <x:v>114</x:v>
      </x:c>
    </x:row>
    <x:row r="27" ht="29.850000381469727" hidden="0">
      <x:c r="A27" s="10" t="s">
        <x:v>115</x:v>
      </x:c>
      <x:c r="B27" s="22" t="n">
        <x:f aca="0">IFERROR(MIN(S5:S18),"")</x:f>
        <x:v>137.5</x:v>
      </x:c>
      <x:c r="C27" s="25"/>
    </x:row>
    <x:row r="28" ht="29.850000381469727" hidden="0">
      <x:c r="A28" s="10" t="s">
        <x:v>116</x:v>
      </x:c>
      <x:c r="B28" s="19" t="n">
        <x:f aca="0">IFERROR(B26/B27,"")</x:f>
        <x:v>2.1818181818181817</x:v>
      </x:c>
      <x:c r="C28" s="25" t="s">
        <x:v>112</x:v>
      </x:c>
    </x:row>
    <x:row r="29" ht="29.850000381469727" hidden="0">
      <x:c r="A29" s="10" t="s">
        <x:v>117</x:v>
      </x:c>
      <x:c r="B29" s="23" t="n">
        <x:f aca="0">COUNTIF(C5:C18,"딜/단일")</x:f>
        <x:v>6</x:v>
      </x:c>
      <x:c r="C29" s="25" t="inlineStr">
        <x:is>
          <x:t>목표 6</x:t>
        </x:is>
      </x:c>
    </x:row>
    <x:row r="30" ht="29.850000381469727" hidden="0">
      <x:c r="A30" s="10" t="s">
        <x:v>119</x:v>
      </x:c>
      <x:c r="B30" s="23" t="n">
        <x:f aca="0">COUNTIF(C5:C18,"딜/광역")</x:f>
        <x:v>0</x:v>
      </x:c>
      <x:c r="C30" s="25" t="s">
        <x:v>118</x:v>
      </x:c>
    </x:row>
    <x:row r="31" ht="29.850000381469727" hidden="0">
      <x:c r="A31" s="10" t="s">
        <x:v>120</x:v>
      </x:c>
      <x:c r="B31" s="23" t="n">
        <x:f aca="0">COUNTIF(C5:C18,"차단")</x:f>
        <x:v>1</x:v>
      </x:c>
      <x:c r="C31" s="25" t="inlineStr">
        <x:is>
          <x:t>목표 2</x:t>
        </x:is>
      </x:c>
    </x:row>
    <x:row r="32" ht="29.850000381469727" hidden="0">
      <x:c r="A32" s="10" t="s">
        <x:v>122</x:v>
      </x:c>
      <x:c r="B32" s="23" t="n">
        <x:f aca="0">COUNTIF(C5:C18,"방어")</x:f>
        <x:v>1</x:v>
      </x:c>
      <x:c r="C32" s="25" t="inlineStr">
        <x:is>
          <x:t>목표 2</x:t>
        </x:is>
      </x:c>
    </x:row>
    <x:row r="34" ht="15" hidden="0">
      <x:c r="A34" s="14" t="s">
        <x:v>123</x:v>
      </x:c>
    </x:row>
    <x:row r="35" ht="15" hidden="0">
      <x:c r="A35" s="14" t="s">
        <x:v>124</x:v>
      </x:c>
    </x:row>
    <x:row r="37" ht="15" hidden="0">
      <x:c r="A37" s="3" t="s">
        <x:v>125</x:v>
      </x:c>
    </x:row>
    <x:row r="38" ht="128.35000610351562" hidden="0">
      <x:c r="A38" s="25" t="s">
        <x:v>126</x:v>
      </x:c>
    </x:row>
    <x:row r="39" ht="166.39999389648438" hidden="0">
      <x:c r="A39" s="26" t="s">
        <x:v>127</x:v>
      </x:c>
    </x:row>
    <x:row r="40" ht="153.6999969482422" hidden="0">
      <x:c r="A40" s="25" t="s">
        <x:v>128</x:v>
      </x:c>
    </x:row>
    <x:row r="41" ht="164.14999389648438" hidden="0">
      <x:c r="A41" s="25" t="s">
        <x:v>129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32" hidden="0" customWidth="1"/>
    <x:col min="2" max="2" width="18" hidden="0" customWidth="1"/>
    <x:col min="3" max="3" width="12" hidden="0" customWidth="1"/>
    <x:col min="4" max="4" width="9" hidden="0" customWidth="1"/>
    <x:col min="5" max="5" width="10" hidden="0" customWidth="1"/>
    <x:col min="6" max="6" width="11" hidden="0" customWidth="1"/>
    <x:col min="7" max="7" width="10" hidden="0" customWidth="1"/>
    <x:col min="8" max="8" width="20" hidden="0" customWidth="1"/>
    <x:col min="9" max="10" width="17" hidden="0" customWidth="1"/>
    <x:col min="11" max="12" width="16" hidden="0" customWidth="1"/>
  </x:cols>
  <x:sheetData>
    <x:row r="1" ht="20.100000381469727" hidden="0">
      <x:c r="A1" s="15" t="s">
        <x:v>130</x:v>
      </x:c>
    </x:row>
    <x:row r="2" ht="15" hidden="0">
      <x:c r="A2" s="21" t="s">
        <x:v>131</x:v>
      </x:c>
    </x:row>
    <x:row r="4" ht="31.5" hidden="0" customHeight="1">
      <x:c r="A4" s="8" t="s">
        <x:v>132</x:v>
      </x:c>
      <x:c r="B4" s="8" t="s">
        <x:v>63</x:v>
      </x:c>
      <x:c r="C4" s="8" t="s">
        <x:v>64</x:v>
      </x:c>
      <x:c r="D4" s="8" t="s">
        <x:v>65</x:v>
      </x:c>
      <x:c r="E4" s="8" t="s">
        <x:v>67</x:v>
      </x:c>
      <x:c r="F4" s="8" t="s">
        <x:v>133</x:v>
      </x:c>
      <x:c r="G4" s="8" t="s">
        <x:v>134</x:v>
      </x:c>
      <x:c r="H4" s="8" t="str">
        <x:v>앞 카드 코스트 합</x:v>
      </x:c>
      <x:c r="I4" s="8" t="str">
        <x:v>비용/회복량(초)</x:v>
      </x:c>
      <x:c r="J4" s="8" t="str">
        <x:v>앞 카드 잠금 합(초)</x:v>
      </x:c>
      <x:c r="K4" s="8" t="s">
        <x:v>135</x:v>
      </x:c>
      <x:c r="L4" s="8" t="s">
        <x:v>136</x:v>
      </x:c>
    </x:row>
    <x:row r="5" ht="15" hidden="0">
      <x:c r="A5" s="27" t="n">
        <x:v>1</x:v>
      </x:c>
      <x:c r="B5" s="17" t="s">
        <x:v>82</x:v>
      </x:c>
      <x:c r="C5" s="27" t="str">
        <x:f aca="0">IFERROR(INDEX('스킬'!$C:$C,MATCH($B5,'스킬'!$B:$B,0)),"")</x:f>
        <x:v>딜/단일</x:v>
      </x:c>
      <x:c r="D5" s="23" t="n">
        <x:f aca="0">IFERROR(INDEX('스킬'!$D:$D,MATCH($B5,'스킬'!$B:$B,0)),"")</x:f>
        <x:v>3</x:v>
      </x:c>
      <x:c r="E5" s="22" t="n">
        <x:f aca="0">IFERROR(INDEX('스킬'!$F:$F,MATCH($B5,'스킬'!$B:$B,0)),"")</x:f>
        <x:v>0.4</x:v>
      </x:c>
      <x:c r="F5" s="23" t="n">
        <x:f aca="0">IFERROR(INDEX('스킬'!$J:$J,MATCH($B5,'스킬'!$B:$B,0)),"")</x:f>
        <x:v>100</x:v>
      </x:c>
      <x:c r="G5" s="27" t="str">
        <x:f aca="0">IF($A5&lt;=4,"손패","대기열")</x:f>
        <x:v>손패</x:v>
      </x:c>
      <x:c r="H5" s="23" t="n">
        <x:f aca="0">IF($A5&lt;=4,0,SUM($D$5:INDEX($D$5:$D$12,$A5-4)))</x:f>
        <x:v>0</x:v>
      </x:c>
      <x:c r="I5" s="22" t="n">
        <x:f aca="0">IFERROR(H5/'범례'!$C$23,"")</x:f>
        <x:v>0</x:v>
      </x:c>
      <x:c r="J5" s="22" t="n">
        <x:f aca="0">IF($A5&lt;=4,0,SUM($E$5:INDEX($E$5:$E$12,$A5-4)))</x:f>
        <x:v>0</x:v>
      </x:c>
      <x:c r="K5" s="22" t="str">
        <x:f aca="0">IF(OR(C5="차단",C5="방어"),I5,"")</x:f>
      </x:c>
      <x:c r="L5" s="22" t="str">
        <x:f aca="0">IF(OR(C5="차단",C5="방어"),J5,"")</x:f>
      </x:c>
    </x:row>
    <x:row r="6" ht="15" hidden="0">
      <x:c r="A6" s="27" t="n">
        <x:v>2</x:v>
      </x:c>
      <x:c r="B6" s="17" t="s">
        <x:v>86</x:v>
      </x:c>
      <x:c r="C6" s="27" t="str">
        <x:f aca="0">IFERROR(INDEX('스킬'!$C:$C,MATCH($B6,'스킬'!$B:$B,0)),"")</x:f>
        <x:v>딜/단일</x:v>
      </x:c>
      <x:c r="D6" s="23" t="n">
        <x:f aca="0">IFERROR(INDEX('스킬'!$D:$D,MATCH($B6,'스킬'!$B:$B,0)),"")</x:f>
        <x:v>4</x:v>
      </x:c>
      <x:c r="E6" s="22" t="n">
        <x:f aca="0">IFERROR(INDEX('스킬'!$F:$F,MATCH($B6,'스킬'!$B:$B,0)),"")</x:f>
        <x:v>0.4</x:v>
      </x:c>
      <x:c r="F6" s="23" t="n">
        <x:f aca="0">IFERROR(INDEX('스킬'!$J:$J,MATCH($B6,'스킬'!$B:$B,0)),"")</x:f>
        <x:v>120</x:v>
      </x:c>
      <x:c r="G6" s="27" t="str">
        <x:f aca="0">IF($A6&lt;=4,"손패","대기열")</x:f>
        <x:v>손패</x:v>
      </x:c>
      <x:c r="H6" s="23" t="n">
        <x:f aca="0">IF($A6&lt;=4,0,SUM($D$5:INDEX($D$5:$D$12,$A6-4)))</x:f>
        <x:v>0</x:v>
      </x:c>
      <x:c r="I6" s="22" t="n">
        <x:f aca="0">IFERROR(H6/'범례'!$C$23,"")</x:f>
        <x:v>0</x:v>
      </x:c>
      <x:c r="J6" s="22" t="n">
        <x:f aca="0">IF($A6&lt;=4,0,SUM($E$5:INDEX($E$5:$E$12,$A6-4)))</x:f>
        <x:v>0</x:v>
      </x:c>
      <x:c r="K6" s="22" t="str">
        <x:f aca="0">IF(OR(C6="차단",C6="방어"),I6,"")</x:f>
      </x:c>
      <x:c r="L6" s="22" t="str">
        <x:f aca="0">IF(OR(C6="차단",C6="방어"),J6,"")</x:f>
      </x:c>
    </x:row>
    <x:row r="7" ht="15" hidden="0">
      <x:c r="A7" s="27" t="n">
        <x:v>3</x:v>
      </x:c>
      <x:c r="B7" s="17" t="s">
        <x:v>89</x:v>
      </x:c>
      <x:c r="C7" s="27" t="str">
        <x:f aca="0">IFERROR(INDEX('스킬'!$C:$C,MATCH($B7,'스킬'!$B:$B,0)),"")</x:f>
        <x:v>방어</x:v>
      </x:c>
      <x:c r="D7" s="23" t="n">
        <x:f aca="0">IFERROR(INDEX('스킬'!$D:$D,MATCH($B7,'스킬'!$B:$B,0)),"")</x:f>
        <x:v>3</x:v>
      </x:c>
      <x:c r="E7" s="22" t="n">
        <x:f aca="0">IFERROR(INDEX('스킬'!$F:$F,MATCH($B7,'스킬'!$B:$B,0)),"")</x:f>
        <x:v>0.4</x:v>
      </x:c>
      <x:c r="F7" s="23" t="n">
        <x:f aca="0">IFERROR(INDEX('스킬'!$J:$J,MATCH($B7,'스킬'!$B:$B,0)),"")</x:f>
        <x:v>0</x:v>
      </x:c>
      <x:c r="G7" s="27" t="str">
        <x:f aca="0">IF($A7&lt;=4,"손패","대기열")</x:f>
        <x:v>손패</x:v>
      </x:c>
      <x:c r="H7" s="23" t="n">
        <x:f aca="0">IF($A7&lt;=4,0,SUM($D$5:INDEX($D$5:$D$12,$A7-4)))</x:f>
        <x:v>0</x:v>
      </x:c>
      <x:c r="I7" s="22" t="n">
        <x:f aca="0">IFERROR(H7/'범례'!$C$23,"")</x:f>
        <x:v>0</x:v>
      </x:c>
      <x:c r="J7" s="22" t="n">
        <x:f aca="0">IF($A7&lt;=4,0,SUM($E$5:INDEX($E$5:$E$12,$A7-4)))</x:f>
        <x:v>0</x:v>
      </x:c>
      <x:c r="K7" s="22" t="n">
        <x:f aca="0">IF(OR(C7="차단",C7="방어"),I7,"")</x:f>
        <x:v>0</x:v>
      </x:c>
      <x:c r="L7" s="22" t="n">
        <x:f aca="0">IF(OR(C7="차단",C7="방어"),J7,"")</x:f>
        <x:v>0</x:v>
      </x:c>
    </x:row>
    <x:row r="8" ht="15" hidden="0">
      <x:c r="A8" s="27" t="n">
        <x:v>4</x:v>
      </x:c>
      <x:c r="B8" s="17" t="s">
        <x:v>93</x:v>
      </x:c>
      <x:c r="C8" s="27" t="str">
        <x:f aca="0">IFERROR(INDEX('스킬'!$C:$C,MATCH($B8,'스킬'!$B:$B,0)),"")</x:f>
        <x:v>차단</x:v>
      </x:c>
      <x:c r="D8" s="23" t="n">
        <x:f aca="0">IFERROR(INDEX('스킬'!$D:$D,MATCH($B8,'스킬'!$B:$B,0)),"")</x:f>
        <x:v>2</x:v>
      </x:c>
      <x:c r="E8" s="22" t="n">
        <x:f aca="0">IFERROR(INDEX('스킬'!$F:$F,MATCH($B8,'스킬'!$B:$B,0)),"")</x:f>
        <x:v>0.4</x:v>
      </x:c>
      <x:c r="F8" s="23" t="n">
        <x:f aca="0">IFERROR(INDEX('스킬'!$J:$J,MATCH($B8,'스킬'!$B:$B,0)),"")</x:f>
        <x:v>0</x:v>
      </x:c>
      <x:c r="G8" s="27" t="str">
        <x:f aca="0">IF($A8&lt;=4,"손패","대기열")</x:f>
        <x:v>손패</x:v>
      </x:c>
      <x:c r="H8" s="23" t="n">
        <x:f aca="0">IF($A8&lt;=4,0,SUM($D$5:INDEX($D$5:$D$12,$A8-4)))</x:f>
        <x:v>0</x:v>
      </x:c>
      <x:c r="I8" s="22" t="n">
        <x:f aca="0">IFERROR(H8/'범례'!$C$23,"")</x:f>
        <x:v>0</x:v>
      </x:c>
      <x:c r="J8" s="22" t="n">
        <x:f aca="0">IF($A8&lt;=4,0,SUM($E$5:INDEX($E$5:$E$12,$A8-4)))</x:f>
        <x:v>0</x:v>
      </x:c>
      <x:c r="K8" s="22" t="n">
        <x:f aca="0">IF(OR(C8="차단",C8="방어"),I8,"")</x:f>
        <x:v>0</x:v>
      </x:c>
      <x:c r="L8" s="22" t="n">
        <x:f aca="0">IF(OR(C8="차단",C8="방어"),J8,"")</x:f>
        <x:v>0</x:v>
      </x:c>
    </x:row>
    <x:row r="9" ht="15" hidden="0">
      <x:c r="A9" s="27" t="n">
        <x:v>5</x:v>
      </x:c>
      <x:c r="B9" s="17" t="s">
        <x:v>96</x:v>
      </x:c>
      <x:c r="C9" s="27" t="str">
        <x:f aca="0">IFERROR(INDEX('스킬'!$C:$C,MATCH($B9,'스킬'!$B:$B,0)),"")</x:f>
        <x:v>딜/단일</x:v>
      </x:c>
      <x:c r="D9" s="23" t="n">
        <x:f aca="0">IFERROR(INDEX('스킬'!$D:$D,MATCH($B9,'스킬'!$B:$B,0)),"")</x:f>
        <x:v>6</x:v>
      </x:c>
      <x:c r="E9" s="22" t="n">
        <x:f aca="0">IFERROR(INDEX('스킬'!$F:$F,MATCH($B9,'스킬'!$B:$B,0)),"")</x:f>
        <x:v>1</x:v>
      </x:c>
      <x:c r="F9" s="23" t="n">
        <x:f aca="0">IFERROR(INDEX('스킬'!$J:$J,MATCH($B9,'스킬'!$B:$B,0)),"")</x:f>
        <x:v>150</x:v>
      </x:c>
      <x:c r="G9" s="27" t="str">
        <x:f aca="0">IF($A9&lt;=4,"손패","대기열")</x:f>
        <x:v>대기열</x:v>
      </x:c>
      <x:c r="H9" s="23" t="n">
        <x:f aca="0">SUM(D5:D5)</x:f>
        <x:v>3</x:v>
      </x:c>
      <x:c r="I9" s="22" t="n">
        <x:f aca="0">IFERROR(H9/'범례'!$C$23,"")</x:f>
        <x:v>3.75</x:v>
      </x:c>
      <x:c r="J9" s="22" t="n">
        <x:f aca="0">SUM(E5:E5)</x:f>
        <x:v>0.4</x:v>
      </x:c>
      <x:c r="K9" s="22" t="str">
        <x:f aca="0">IF(OR(C9="차단",C9="방어"),I9,"")</x:f>
      </x:c>
      <x:c r="L9" s="22" t="str">
        <x:f aca="0">IF(OR(C9="차단",C9="방어"),J9,"")</x:f>
      </x:c>
    </x:row>
    <x:row r="10" ht="15" hidden="0">
      <x:c r="A10" s="27" t="n">
        <x:v>6</x:v>
      </x:c>
      <x:c r="B10" s="17" t="s">
        <x:v>99</x:v>
      </x:c>
      <x:c r="C10" s="27" t="str">
        <x:f aca="0">IFERROR(INDEX('스킬'!$C:$C,MATCH($B10,'스킬'!$B:$B,0)),"")</x:f>
        <x:v>딜/단일</x:v>
      </x:c>
      <x:c r="D10" s="23" t="n">
        <x:f aca="0">IFERROR(INDEX('스킬'!$D:$D,MATCH($B10,'스킬'!$B:$B,0)),"")</x:f>
        <x:v>5</x:v>
      </x:c>
      <x:c r="E10" s="22" t="n">
        <x:f aca="0">IFERROR(INDEX('스킬'!$F:$F,MATCH($B10,'스킬'!$B:$B,0)),"")</x:f>
        <x:v>0.8</x:v>
      </x:c>
      <x:c r="F10" s="23" t="n">
        <x:f aca="0">IFERROR(INDEX('스킬'!$J:$J,MATCH($B10,'스킬'!$B:$B,0)),"")</x:f>
        <x:v>110</x:v>
      </x:c>
      <x:c r="G10" s="27" t="str">
        <x:f aca="0">IF($A10&lt;=4,"손패","대기열")</x:f>
        <x:v>대기열</x:v>
      </x:c>
      <x:c r="H10" s="23" t="n">
        <x:f aca="0">SUM(D5:D6)</x:f>
        <x:v>7</x:v>
      </x:c>
      <x:c r="I10" s="22" t="n">
        <x:f aca="0">IFERROR(H10/'범례'!$C$23,"")</x:f>
        <x:v>8.75</x:v>
      </x:c>
      <x:c r="J10" s="22" t="n">
        <x:f aca="0">SUM(E5:E6)</x:f>
        <x:v>0.8</x:v>
      </x:c>
      <x:c r="K10" s="22" t="str">
        <x:f aca="0">IF(OR(C10="차단",C10="방어"),I10,"")</x:f>
      </x:c>
      <x:c r="L10" s="22" t="str">
        <x:f aca="0">IF(OR(C10="차단",C10="방어"),J10,"")</x:f>
      </x:c>
    </x:row>
    <x:row r="11" ht="15" hidden="0">
      <x:c r="A11" s="27" t="n">
        <x:v>7</x:v>
      </x:c>
      <x:c r="B11" s="17" t="s">
        <x:v>102</x:v>
      </x:c>
      <x:c r="C11" s="27" t="str">
        <x:f aca="0">IFERROR(INDEX('스킬'!$C:$C,MATCH($B11,'스킬'!$B:$B,0)),"")</x:f>
        <x:v>딜/단일</x:v>
      </x:c>
      <x:c r="D11" s="23" t="n">
        <x:f aca="0">IFERROR(INDEX('스킬'!$D:$D,MATCH($B11,'스킬'!$B:$B,0)),"")</x:f>
        <x:v>5</x:v>
      </x:c>
      <x:c r="E11" s="22" t="n">
        <x:f aca="0">IFERROR(INDEX('스킬'!$F:$F,MATCH($B11,'스킬'!$B:$B,0)),"")</x:f>
        <x:v>0.6</x:v>
      </x:c>
      <x:c r="F11" s="23" t="n">
        <x:f aca="0">IFERROR(INDEX('스킬'!$J:$J,MATCH($B11,'스킬'!$B:$B,0)),"")</x:f>
        <x:v>150</x:v>
      </x:c>
      <x:c r="G11" s="27" t="str">
        <x:f aca="0">IF($A11&lt;=4,"손패","대기열")</x:f>
        <x:v>대기열</x:v>
      </x:c>
      <x:c r="H11" s="23" t="n">
        <x:f aca="0">SUM(D5:D7)</x:f>
        <x:v>10</x:v>
      </x:c>
      <x:c r="I11" s="22" t="n">
        <x:f aca="0">IFERROR(H11/'범례'!$C$23,"")</x:f>
        <x:v>12.5</x:v>
      </x:c>
      <x:c r="J11" s="22" t="n">
        <x:f aca="0">SUM(E5:E7)</x:f>
        <x:v>1.2000000000000002</x:v>
      </x:c>
      <x:c r="K11" s="22" t="str">
        <x:f aca="0">IF(OR(C11="차단",C11="방어"),I11,"")</x:f>
      </x:c>
      <x:c r="L11" s="22" t="str">
        <x:f aca="0">IF(OR(C11="차단",C11="방어"),J11,"")</x:f>
      </x:c>
    </x:row>
    <x:row r="12" ht="15" hidden="0">
      <x:c r="A12" s="27" t="n">
        <x:v>8</x:v>
      </x:c>
      <x:c r="B12" s="17" t="s">
        <x:v>105</x:v>
      </x:c>
      <x:c r="C12" s="27" t="str">
        <x:f aca="0">IFERROR(INDEX('스킬'!$C:$C,MATCH($B12,'스킬'!$B:$B,0)),"")</x:f>
        <x:v>딜/단일</x:v>
      </x:c>
      <x:c r="D12" s="23" t="n">
        <x:f aca="0">IFERROR(INDEX('스킬'!$D:$D,MATCH($B12,'스킬'!$B:$B,0)),"")</x:f>
        <x:v>7</x:v>
      </x:c>
      <x:c r="E12" s="22" t="n">
        <x:f aca="0">IFERROR(INDEX('스킬'!$F:$F,MATCH($B12,'스킬'!$B:$B,0)),"")</x:f>
        <x:v>1.2</x:v>
      </x:c>
      <x:c r="F12" s="23" t="n">
        <x:f aca="0">IFERROR(INDEX('스킬'!$J:$J,MATCH($B12,'스킬'!$B:$B,0)),"")</x:f>
        <x:v>180</x:v>
      </x:c>
      <x:c r="G12" s="27" t="str">
        <x:f aca="0">IF($A12&lt;=4,"손패","대기열")</x:f>
        <x:v>대기열</x:v>
      </x:c>
      <x:c r="H12" s="23" t="n">
        <x:f aca="0">SUM(D5:D8)</x:f>
        <x:v>12</x:v>
      </x:c>
      <x:c r="I12" s="22" t="n">
        <x:f aca="0">IFERROR(H12/'범례'!$C$23,"")</x:f>
        <x:v>15</x:v>
      </x:c>
      <x:c r="J12" s="22" t="n">
        <x:f aca="0">SUM(E5:E8)</x:f>
        <x:v>1.6</x:v>
      </x:c>
      <x:c r="K12" s="22" t="str">
        <x:f aca="0">IF(OR(C12="차단",C12="방어"),I12,"")</x:f>
      </x:c>
      <x:c r="L12" s="22" t="str">
        <x:f aca="0">IF(OR(C12="차단",C12="방어"),J12,"")</x:f>
      </x:c>
    </x:row>
    <x:row r="15" ht="15" hidden="0">
      <x:c r="A15" s="3" t="s">
        <x:v>137</x:v>
      </x:c>
    </x:row>
    <x:row r="16" ht="30" hidden="0" customHeight="1">
      <x:c r="A16" s="10" t="s">
        <x:v>138</x:v>
      </x:c>
      <x:c r="B16" s="23" t="n">
        <x:f aca="0">SUM(D5:D12)</x:f>
        <x:v>35</x:v>
      </x:c>
      <x:c r="D16" s="38"/>
      <x:c r="E16" s="39"/>
      <x:c r="F16" s="39"/>
      <x:c r="G16" s="39"/>
      <x:c r="H16" s="39"/>
      <x:c r="I16" s="39"/>
      <x:c r="J16" s="39"/>
      <x:c r="K16" s="39"/>
      <x:c r="L16" s="39"/>
    </x:row>
    <x:row r="17" ht="30" hidden="0" customHeight="1">
      <x:c r="A17" s="12" t="str">
        <x:v>회복량 기준 순환 시간(초)</x:v>
      </x:c>
      <x:c r="B17" s="41" t="n">
        <x:f aca="0">IFERROR(B16/'범례'!$C$23,"")</x:f>
        <x:v>43.75</x:v>
      </x:c>
      <x:c r="D17" s="38" t="str">
        <x:v>총 코스트/회복량. 실제 첫 순환은 10 참조</x:v>
      </x:c>
      <x:c r="E17" s="39"/>
      <x:c r="F17" s="39"/>
      <x:c r="G17" s="39"/>
      <x:c r="H17" s="39"/>
      <x:c r="I17" s="39"/>
      <x:c r="J17" s="39"/>
      <x:c r="K17" s="39"/>
      <x:c r="L17" s="39"/>
    </x:row>
    <x:row r="18" ht="30" hidden="0" customHeight="1">
      <x:c r="A18" s="10" t="s">
        <x:v>139</x:v>
      </x:c>
      <x:c r="B18" s="22" t="n">
        <x:f aca="0">SUM(E5:E12)</x:f>
        <x:v>5.2</x:v>
      </x:c>
      <x:c r="D18" s="40" t="s">
        <x:v>140</x:v>
      </x:c>
      <x:c r="E18" s="39"/>
      <x:c r="F18" s="39"/>
      <x:c r="G18" s="39"/>
      <x:c r="H18" s="39"/>
      <x:c r="I18" s="39"/>
      <x:c r="J18" s="39"/>
      <x:c r="K18" s="39"/>
      <x:c r="L18" s="39"/>
    </x:row>
    <x:row r="19" ht="30" hidden="0" customHeight="1">
      <x:c r="A19" s="10" t="s">
        <x:v>141</x:v>
      </x:c>
      <x:c r="B19" s="23" t="n">
        <x:f aca="0">SUM(F5:F12)</x:f>
        <x:v>810</x:v>
      </x:c>
      <x:c r="D19" s="38"/>
      <x:c r="E19" s="39"/>
      <x:c r="F19" s="39"/>
      <x:c r="G19" s="39"/>
      <x:c r="H19" s="39"/>
      <x:c r="I19" s="39"/>
      <x:c r="J19" s="39"/>
      <x:c r="K19" s="39"/>
      <x:c r="L19" s="39"/>
    </x:row>
    <x:row r="20" ht="30" hidden="0" customHeight="1">
      <x:c r="A20" s="10" t="str">
        <x:v>회복량 기준 평균 피해/초</x:v>
      </x:c>
      <x:c r="B20" s="22" t="n">
        <x:f aca="0">IFERROR(B19/B17,"")</x:f>
        <x:v>18.514285714285716</x:v>
      </x:c>
      <x:c r="D20" s="38" t="str">
        <x:v>기절·초과피해·입력 순서 미포함; 실측 아님</x:v>
      </x:c>
      <x:c r="E20" s="39"/>
      <x:c r="F20" s="39"/>
      <x:c r="G20" s="39"/>
      <x:c r="H20" s="39"/>
      <x:c r="I20" s="39"/>
      <x:c r="J20" s="39"/>
      <x:c r="K20" s="39"/>
      <x:c r="L20" s="39"/>
    </x:row>
    <x:row r="21" ht="30" hidden="0" customHeight="1">
      <x:c r="A21" s="10" t="s">
        <x:v>142</x:v>
      </x:c>
      <x:c r="B21" s="19" t="n">
        <x:f aca="0">IFERROR('범례'!$C$27/B17,"")</x:f>
        <x:v>1.0285714285714285</x:v>
      </x:c>
      <x:c r="D21" s="38" t="s">
        <x:v>143</x:v>
      </x:c>
      <x:c r="E21" s="39"/>
      <x:c r="F21" s="39"/>
      <x:c r="G21" s="39"/>
      <x:c r="H21" s="39"/>
      <x:c r="I21" s="39"/>
      <x:c r="J21" s="39"/>
      <x:c r="K21" s="39"/>
      <x:c r="L21" s="39"/>
    </x:row>
    <x:row r="22" ht="30" hidden="0" customHeight="1">
      <x:c r="A22" s="10" t="s">
        <x:v>144</x:v>
      </x:c>
      <x:c r="B22" s="23" t="n">
        <x:f aca="0">COUNTIF(C5:C12,"차단")+COUNTIF(C5:C12,"방어")</x:f>
        <x:v>2</x:v>
      </x:c>
      <x:c r="D22" s="38" t="s">
        <x:v>145</x:v>
      </x:c>
      <x:c r="E22" s="39"/>
      <x:c r="F22" s="39"/>
      <x:c r="G22" s="39"/>
      <x:c r="H22" s="39"/>
      <x:c r="I22" s="39"/>
      <x:c r="J22" s="39"/>
      <x:c r="K22" s="39"/>
      <x:c r="L22" s="39"/>
    </x:row>
    <x:row r="23" ht="30" hidden="0" customHeight="1">
      <x:c r="A23" s="10" t="str">
        <x:v>초기 대응 카드 접근 비용/회복량</x:v>
      </x:c>
      <x:c r="B23" s="22" t="n">
        <x:f aca="0">IFERROR(MAX(K5:K12),"")</x:f>
        <x:v>0</x:v>
      </x:c>
      <x:c r="D23" s="38" t="str">
        <x:v>0은 초기 손패 배치. 사용 비용·재등장 제외</x:v>
      </x:c>
      <x:c r="E23" s="39"/>
      <x:c r="F23" s="39"/>
      <x:c r="G23" s="39"/>
      <x:c r="H23" s="39"/>
      <x:c r="I23" s="39"/>
      <x:c r="J23" s="39"/>
      <x:c r="K23" s="39"/>
      <x:c r="L23" s="39"/>
    </x:row>
    <x:row r="24" ht="30" hidden="0" customHeight="1">
      <x:c r="A24" s="10" t="str">
        <x:v>초기 대응 카드 앞 잠금 합</x:v>
      </x:c>
      <x:c r="B24" s="22" t="n">
        <x:f aca="0">IFERROR(MAX(L5:L12),"")</x:f>
        <x:v>0</x:v>
      </x:c>
      <x:c r="D24" s="38" t="str">
        <x:v>마지막 입력 뒤 잠금 포함. 진입 시각과 다름</x:v>
      </x:c>
      <x:c r="E24" s="39"/>
      <x:c r="F24" s="39"/>
      <x:c r="G24" s="39"/>
      <x:c r="H24" s="39"/>
      <x:c r="I24" s="39"/>
      <x:c r="J24" s="39"/>
      <x:c r="K24" s="39"/>
      <x:c r="L24" s="39"/>
    </x:row>
    <x:row r="28" ht="15" hidden="0">
      <x:c r="A28" s="3" t="s">
        <x:v>146</x:v>
      </x:c>
    </x:row>
    <x:row r="29" ht="25" hidden="0" customHeight="1">
      <x:c r="A29" s="38" t="str">
        <x:v>H~L은 초기 배치에서 1번부터 차례로 소비하는 참고 계산. 사용 후 재등장 미포함.</x:v>
      </x:c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</x:row>
    <x:row r="30" ht="25" hidden="0" customHeight="1">
      <x:c r="A30" s="38" t="str">
        <x:v>① 앞 카드 코스트 합 ② 앞 카드 잠금 합. 실제 입력 시각은 순서별 충전·잠금을 함께 계산.</x:v>
      </x:c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</x:row>
    <x:row r="31" ht="25" hidden="0" customHeight="1">
      <x:c r="A31" s="38" t="str">
        <x:v>두 합의 최댓값을 실제 대기 시간으로 단정하지 않음. 대상 카드 비용·효과 적용도 별도.</x:v>
      </x:c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</x:row>
    <x:row r="32" ht="25" hidden="0" customHeight="1">
      <x:c r="A32" s="38" t="str">
        <x:v>예: 코스트 10에서 화염탄→서리화살 입력 0/0.4초. 6번 카드 진입 0.4초, 잠금 종료 0.8초.</x:v>
      </x:c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</x:row>
    <x:row r="33" ht="25" hidden="0" customHeight="1">
      <x:c r="A33" s="38" t="str">
        <x:v>코스트 0이면 위 두 입력에 8.75초 충전 필요. 손패 진입과 사용 가능 시점을 구분.</x:v>
      </x:c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</x:row>
    <x:row r="34" ht="25" hidden="0" customHeight="1">
      <x:c r="A34" s="38" t="s">
        <x:v>147</x:v>
      </x:c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</x:row>
  </x:sheetData>
  <x:mergeCells>
    <x:mergeCell ref="D16:L16"/>
    <x:mergeCell ref="D17:L17"/>
    <x:mergeCell ref="D18:L18"/>
    <x:mergeCell ref="D19:L19"/>
    <x:mergeCell ref="D20:L20"/>
    <x:mergeCell ref="D21:L21"/>
    <x:mergeCell ref="D22:L22"/>
    <x:mergeCell ref="D23:L23"/>
    <x:mergeCell ref="D24:L24"/>
    <x:mergeCell ref="A29:L29"/>
    <x:mergeCell ref="A30:L30"/>
    <x:mergeCell ref="A31:L31"/>
    <x:mergeCell ref="A32:L32"/>
    <x:mergeCell ref="A33:L33"/>
    <x:mergeCell ref="A34:L3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6" hidden="0" customWidth="1"/>
    <x:col min="2" max="2" width="12" hidden="0" customWidth="1"/>
    <x:col min="3" max="5" width="10" hidden="0" customWidth="1"/>
    <x:col min="6" max="7" width="12" hidden="0" customWidth="1"/>
    <x:col min="8" max="8" width="11" hidden="0" customWidth="1"/>
    <x:col min="9" max="9" width="17" hidden="0" customWidth="1"/>
    <x:col min="10" max="10" width="44" hidden="0" customWidth="1"/>
  </x:cols>
  <x:sheetData>
    <x:row r="1" ht="16.149999618530273" hidden="0">
      <x:c r="A1" s="15" t="s">
        <x:v>148</x:v>
      </x:c>
    </x:row>
    <x:row r="2" ht="15" hidden="0">
      <x:c r="A2" s="21" t="s">
        <x:v>149</x:v>
      </x:c>
    </x:row>
    <x:row r="4" ht="15" hidden="0" customHeight="1">
      <x:c r="A4" s="8" t="s">
        <x:v>52</x:v>
      </x:c>
      <x:c r="B4" s="8" t="s">
        <x:v>150</x:v>
      </x:c>
      <x:c r="C4" s="16" t="s">
        <x:v>53</x:v>
      </x:c>
      <x:c r="D4" s="8" t="s">
        <x:v>68</x:v>
      </x:c>
      <x:c r="E4" s="8" t="s">
        <x:v>54</x:v>
      </x:c>
      <x:c r="F4" s="8" t="s">
        <x:v>151</x:v>
      </x:c>
      <x:c r="G4" s="8" t="s">
        <x:v>66</x:v>
      </x:c>
      <x:c r="H4" s="8" t="s">
        <x:v>152</x:v>
      </x:c>
      <x:c r="I4" s="37" t="str">
        <x:v>회복량 기준 참고 시간</x:v>
      </x:c>
      <x:c r="J4" s="8" t="s">
        <x:v>153</x:v>
      </x:c>
    </x:row>
    <x:row r="5" ht="15" hidden="0">
      <x:c r="A5" s="17" t="s">
        <x:v>154</x:v>
      </x:c>
      <x:c r="B5" s="17" t="s">
        <x:v>155</x:v>
      </x:c>
      <x:c r="C5" s="17" t="n">
        <x:v>300</x:v>
      </x:c>
      <x:c r="D5" s="17" t="n">
        <x:v>30</x:v>
      </x:c>
      <x:c r="E5" s="17" t="n">
        <x:v>0</x:v>
      </x:c>
      <x:c r="F5" s="13" t="n">
        <x:f aca="0">IF(NOT(ISNUMBER(E5)),"",E5/(E5+'범례'!$C$20))</x:f>
        <x:v>0</x:v>
      </x:c>
      <x:c r="G5" s="17" t="n">
        <x:v>2.5</x:v>
      </x:c>
      <x:c r="H5" s="11" t="inlineStr">
        <x:is>
          <x:t xml:space="preserve">가능</x:t>
        </x:is>
      </x:c>
      <x:c r="I5" s="22" t="n">
        <x:f aca="0">IFERROR(C5/'덱시뮬'!$B$20,"")</x:f>
        <x:v>16.203703703703702</x:v>
      </x:c>
      <x:c r="J5" s="20" t="s">
        <x:v>156</x:v>
      </x:c>
    </x:row>
    <x:row r="6" ht="15" hidden="0">
      <x:c r="A6" s="17" t="s">
        <x:v>157</x:v>
      </x:c>
      <x:c r="B6" s="17" t="s">
        <x:v>158</x:v>
      </x:c>
      <x:c r="C6" s="17" t="n">
        <x:v>300</x:v>
      </x:c>
      <x:c r="D6" s="17" t="n">
        <x:v>40</x:v>
      </x:c>
      <x:c r="E6" s="17" t="n">
        <x:v>0</x:v>
      </x:c>
      <x:c r="F6" s="13" t="n">
        <x:f aca="0">IF(NOT(ISNUMBER(E6)),"",E6/(E6+'범례'!$C$20))</x:f>
        <x:v>0</x:v>
      </x:c>
      <x:c r="G6" s="17" t="n">
        <x:v>3</x:v>
      </x:c>
      <x:c r="H6" s="17" t="s">
        <x:v>159</x:v>
      </x:c>
      <x:c r="I6" s="22" t="n">
        <x:f aca="0">IFERROR(C6/'덱시뮬'!$B$20,"")</x:f>
        <x:v>16.203703703703702</x:v>
      </x:c>
      <x:c r="J6" s="20" t="s">
        <x:v>160</x:v>
      </x:c>
    </x:row>
    <x:row r="7" ht="15" hidden="0">
      <x:c r="A7" s="17" t="s">
        <x:v>161</x:v>
      </x:c>
      <x:c r="B7" s="17" t="s">
        <x:v>162</x:v>
      </x:c>
      <x:c r="C7" s="17" t="n">
        <x:v>300</x:v>
      </x:c>
      <x:c r="D7" s="17" t="n">
        <x:v>150</x:v>
      </x:c>
      <x:c r="E7" s="17" t="n">
        <x:v>0</x:v>
      </x:c>
      <x:c r="F7" s="13" t="n">
        <x:f aca="0">IF(NOT(ISNUMBER(E7)),"",E7/(E7+'범례'!$C$20))</x:f>
        <x:v>0</x:v>
      </x:c>
      <x:c r="G7" s="17" t="n">
        <x:v>4</x:v>
      </x:c>
      <x:c r="H7" s="17" t="s">
        <x:v>163</x:v>
      </x:c>
      <x:c r="I7" s="22" t="n">
        <x:f aca="0">IFERROR(C7/'덱시뮬'!$B$20,"")</x:f>
        <x:v>16.203703703703702</x:v>
      </x:c>
      <x:c r="J7" s="20" t="s">
        <x:v>164</x:v>
      </x:c>
    </x:row>
    <x:row r="8" ht="15" hidden="0">
      <x:c r="A8" s="17"/>
      <x:c r="B8" s="17"/>
      <x:c r="C8" s="17"/>
      <x:c r="D8" s="17"/>
      <x:c r="E8" s="17"/>
      <x:c r="F8" s="13" t="str">
        <x:f aca="0">IF(NOT(ISNUMBER(E8)),"",E8/(E8+'범례'!$C$20))</x:f>
      </x:c>
      <x:c r="G8" s="17"/>
      <x:c r="H8" s="17"/>
      <x:c r="I8" s="22" t="str">
        <x:f aca="0">IF(NOT(ISNUMBER(C8)),"",C8/'덱시뮬'!$B$20)</x:f>
      </x:c>
      <x:c r="J8" s="20"/>
    </x:row>
    <x:row r="9" ht="15" hidden="0">
      <x:c r="A9" s="17"/>
      <x:c r="B9" s="17"/>
      <x:c r="C9" s="17"/>
      <x:c r="D9" s="17"/>
      <x:c r="E9" s="17"/>
      <x:c r="F9" s="13" t="str">
        <x:f aca="0">IF(NOT(ISNUMBER(E9)),"",E9/(E9+'범례'!$C$20))</x:f>
      </x:c>
      <x:c r="G9" s="17"/>
      <x:c r="H9" s="17"/>
      <x:c r="I9" s="22" t="str">
        <x:f aca="0">IF(NOT(ISNUMBER(C9)),"",C9/'덱시뮬'!$B$20)</x:f>
      </x:c>
      <x:c r="J9" s="20"/>
    </x:row>
    <x:row r="10" ht="15" hidden="0">
      <x:c r="A10" s="17"/>
      <x:c r="B10" s="17"/>
      <x:c r="C10" s="17"/>
      <x:c r="D10" s="17"/>
      <x:c r="E10" s="17"/>
      <x:c r="F10" s="13" t="str">
        <x:f aca="0">IF(NOT(ISNUMBER(E10)),"",E10/(E10+'범례'!$C$20))</x:f>
      </x:c>
      <x:c r="G10" s="17"/>
      <x:c r="H10" s="17"/>
      <x:c r="I10" s="22" t="str">
        <x:f aca="0">IF(NOT(ISNUMBER(C10)),"",C10/'덱시뮬'!$B$20)</x:f>
      </x:c>
      <x:c r="J10" s="20"/>
    </x:row>
    <x:row r="13" ht="15" hidden="0">
      <x:c r="A13" s="28" t="s">
        <x:v>165</x:v>
      </x:c>
    </x:row>
    <x:row r="14" ht="15" hidden="0">
      <x:c r="A14" s="2" t="s">
        <x:v>166</x:v>
      </x:c>
    </x:row>
    <x:row r="15" ht="15" hidden="0">
      <x:c r="A15" s="14" t="str">
        <x:v>I열은 HP/회복량 기준 평균 피해. 카드 순서·피격·기절을 반영한 실제 처치 시간이 아님.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32" hidden="0" customWidth="1"/>
    <x:col min="2" max="2" width="20" hidden="0" customWidth="1"/>
    <x:col min="3" max="4" width="18" hidden="0" customWidth="1"/>
    <x:col min="5" max="6" width="15" hidden="0" customWidth="1"/>
    <x:col min="7" max="7" width="12" hidden="0" customWidth="1"/>
    <x:col min="8" max="8" width="34" hidden="0" customWidth="1"/>
  </x:cols>
  <x:sheetData>
    <x:row r="1" ht="20.100000381469727" hidden="0">
      <x:c r="A1" s="15" t="s">
        <x:v>167</x:v>
      </x:c>
    </x:row>
    <x:row r="2" ht="15" hidden="0">
      <x:c r="A2" s="21" t="str">
        <x:v>5전투 예상 피해를 모두 입력해야 합계·여유 계산. 현재 포션 미구현; 향후 런 기획용.</x:v>
      </x:c>
    </x:row>
    <x:row r="4" ht="31.5" hidden="0" customHeight="1">
      <x:c r="A4" s="8" t="s">
        <x:v>168</x:v>
      </x:c>
      <x:c r="B4" s="8" t="s">
        <x:v>169</x:v>
      </x:c>
      <x:c r="C4" s="8" t="s">
        <x:v>170</x:v>
      </x:c>
      <x:c r="D4" s="8" t="s">
        <x:v>171</x:v>
      </x:c>
      <x:c r="E4" s="8" t="s">
        <x:v>172</x:v>
      </x:c>
      <x:c r="F4" s="8" t="s">
        <x:v>173</x:v>
      </x:c>
      <x:c r="G4" s="8" t="s">
        <x:v>174</x:v>
      </x:c>
      <x:c r="H4" s="8" t="s">
        <x:v>175</x:v>
      </x:c>
    </x:row>
    <x:row r="5" ht="15" hidden="0">
      <x:c r="A5" s="27" t="n">
        <x:v>1</x:v>
      </x:c>
      <x:c r="B5" s="20"/>
      <x:c r="C5" s="17"/>
      <x:c r="D5" s="17"/>
      <x:c r="E5" s="23" t="str">
        <x:f aca="0">IF(NOT(ISNUMBER(C5)),"",IF(A5=1,'직업'!$B$5-C5,E4-C5))</x:f>
      </x:c>
      <x:c r="F5" s="23" t="str">
        <x:f aca="0">IF(NOT(ISNUMBER(D5)),"",IF(A5=1,'직업'!$B$5-D5,F4-D5))</x:f>
      </x:c>
      <x:c r="G5" s="27" t="str">
        <x:f aca="0">IF(NOT(ISNUMBER(F5)),"",IF(F5&lt;=0,"사망",IF(F5&lt;100,"위험","안전")))</x:f>
      </x:c>
      <x:c r="H5" s="20"/>
    </x:row>
    <x:row r="6" ht="15" hidden="0">
      <x:c r="A6" s="27" t="n">
        <x:v>2</x:v>
      </x:c>
      <x:c r="B6" s="20"/>
      <x:c r="C6" s="17"/>
      <x:c r="D6" s="17"/>
      <x:c r="E6" s="23" t="str">
        <x:f aca="0">IF(NOT(ISNUMBER(C6)),"",IF(A6=1,'직업'!$B$5-C6,E5-C6))</x:f>
      </x:c>
      <x:c r="F6" s="23" t="str">
        <x:f aca="0">IF(NOT(ISNUMBER(D6)),"",IF(A6=1,'직업'!$B$5-D6,F5-D6))</x:f>
      </x:c>
      <x:c r="G6" s="27" t="str">
        <x:f aca="0">IF(NOT(ISNUMBER(F6)),"",IF(F6&lt;=0,"사망",IF(F6&lt;100,"위험","안전")))</x:f>
      </x:c>
      <x:c r="H6" s="20"/>
    </x:row>
    <x:row r="7" ht="15" hidden="0">
      <x:c r="A7" s="27" t="n">
        <x:v>3</x:v>
      </x:c>
      <x:c r="B7" s="20"/>
      <x:c r="C7" s="17"/>
      <x:c r="D7" s="17"/>
      <x:c r="E7" s="23" t="str">
        <x:f aca="0">IF(NOT(ISNUMBER(C7)),"",IF(A7=1,'직업'!$B$5-C7,E6-C7))</x:f>
      </x:c>
      <x:c r="F7" s="23" t="str">
        <x:f aca="0">IF(NOT(ISNUMBER(D7)),"",IF(A7=1,'직업'!$B$5-D7,F6-D7))</x:f>
      </x:c>
      <x:c r="G7" s="27" t="str">
        <x:f aca="0">IF(NOT(ISNUMBER(F7)),"",IF(F7&lt;=0,"사망",IF(F7&lt;100,"위험","안전")))</x:f>
      </x:c>
      <x:c r="H7" s="20"/>
    </x:row>
    <x:row r="8" ht="15" hidden="0">
      <x:c r="A8" s="27" t="n">
        <x:v>4</x:v>
      </x:c>
      <x:c r="B8" s="20"/>
      <x:c r="C8" s="17"/>
      <x:c r="D8" s="17"/>
      <x:c r="E8" s="23" t="str">
        <x:f aca="0">IF(NOT(ISNUMBER(C8)),"",IF(A8=1,'직업'!$B$5-C8,E7-C8))</x:f>
      </x:c>
      <x:c r="F8" s="23" t="str">
        <x:f aca="0">IF(NOT(ISNUMBER(D8)),"",IF(A8=1,'직업'!$B$5-D8,F7-D8))</x:f>
      </x:c>
      <x:c r="G8" s="27" t="str">
        <x:f aca="0">IF(NOT(ISNUMBER(F8)),"",IF(F8&lt;=0,"사망",IF(F8&lt;100,"위험","안전")))</x:f>
      </x:c>
      <x:c r="H8" s="20"/>
    </x:row>
    <x:row r="9" ht="15" hidden="0">
      <x:c r="A9" s="27" t="n">
        <x:v>5</x:v>
      </x:c>
      <x:c r="B9" s="20"/>
      <x:c r="C9" s="17"/>
      <x:c r="D9" s="17"/>
      <x:c r="E9" s="23" t="str">
        <x:f aca="0">IF(NOT(ISNUMBER(C9)),"",IF(A9=1,'직업'!$B$5-C9,E8-C9))</x:f>
      </x:c>
      <x:c r="F9" s="23" t="str">
        <x:f aca="0">IF(NOT(ISNUMBER(D9)),"",IF(A9=1,'직업'!$B$5-D9,F8-D9))</x:f>
      </x:c>
      <x:c r="G9" s="27" t="str">
        <x:f aca="0">IF(NOT(ISNUMBER(F9)),"",IF(F9&lt;=0,"사망",IF(F9&lt;100,"위험","안전")))</x:f>
      </x:c>
      <x:c r="H9" s="20"/>
    </x:row>
    <x:row r="12" ht="15" hidden="0">
      <x:c r="A12" s="3" t="s">
        <x:v>137</x:v>
      </x:c>
    </x:row>
    <x:row r="13" ht="30" hidden="0" customHeight="1">
      <x:c r="A13" s="10" t="s">
        <x:v>176</x:v>
      </x:c>
      <x:c r="B13" s="23" t="str">
        <x:f aca="0">IF(COUNT(C5:C9)&lt;5,"",SUM(C5:C9))</x:f>
      </x:c>
      <x:c r="D13" s="38"/>
      <x:c r="E13" s="39"/>
      <x:c r="F13" s="39"/>
      <x:c r="G13" s="39"/>
      <x:c r="H13" s="39"/>
    </x:row>
    <x:row r="14" ht="30" hidden="0" customHeight="1">
      <x:c r="A14" s="10" t="s">
        <x:v>177</x:v>
      </x:c>
      <x:c r="B14" s="23" t="str">
        <x:f aca="0">IF(COUNT(D5:D9)&lt;5,"",SUM(D5:D9))</x:f>
      </x:c>
      <x:c r="D14" s="38"/>
      <x:c r="E14" s="39"/>
      <x:c r="F14" s="39"/>
      <x:c r="G14" s="39"/>
      <x:c r="H14" s="39"/>
    </x:row>
    <x:row r="15" ht="30" hidden="0" customHeight="1">
      <x:c r="A15" s="10" t="s">
        <x:v>178</x:v>
      </x:c>
      <x:c r="B15" s="23" t="n">
        <x:f aca="0">IFERROR('직업'!$B$5*0.5*'범례'!$C$29,"")</x:f>
        <x:v>750</x:v>
      </x:c>
      <x:c r="D15" s="38" t="s">
        <x:v>179</x:v>
      </x:c>
      <x:c r="E15" s="39"/>
      <x:c r="F15" s="39"/>
      <x:c r="G15" s="39"/>
      <x:c r="H15" s="39"/>
    </x:row>
    <x:row r="16" ht="30" hidden="0" customHeight="1">
      <x:c r="A16" s="10" t="s">
        <x:v>180</x:v>
      </x:c>
      <x:c r="B16" s="23" t="n">
        <x:f aca="0">IFERROR('직업'!$B$5+B15,"")</x:f>
        <x:v>1250</x:v>
      </x:c>
      <x:c r="D16" s="38" t="str">
        <x:v>포션 초과 회복 손실이 없다는 이론 상한</x:v>
      </x:c>
      <x:c r="E16" s="39"/>
      <x:c r="F16" s="39"/>
      <x:c r="G16" s="39"/>
      <x:c r="H16" s="39"/>
    </x:row>
    <x:row r="17" ht="30" hidden="0" customHeight="1">
      <x:c r="A17" s="10" t="s">
        <x:v>181</x:v>
      </x:c>
      <x:c r="B17" s="23" t="str">
        <x:f aca="0">IF(NOT(ISNUMBER(B13)),"",B16-B13)</x:f>
      </x:c>
      <x:c r="D17" s="38" t="s">
        <x:v>182</x:v>
      </x:c>
      <x:c r="E17" s="39"/>
      <x:c r="F17" s="39"/>
      <x:c r="G17" s="39"/>
      <x:c r="H17" s="39"/>
    </x:row>
    <x:row r="18" ht="30" hidden="0" customHeight="1">
      <x:c r="A18" s="10" t="s">
        <x:v>183</x:v>
      </x:c>
      <x:c r="B18" s="23" t="str">
        <x:f aca="0">IF(NOT(ISNUMBER(B14)),"",B16-B14)</x:f>
      </x:c>
      <x:c r="D18" s="38" t="s">
        <x:v>184</x:v>
      </x:c>
      <x:c r="E18" s="39"/>
      <x:c r="F18" s="39"/>
      <x:c r="G18" s="39"/>
      <x:c r="H18" s="39"/>
    </x:row>
    <x:row r="19" ht="30" hidden="0" customHeight="1">
      <x:c r="A19" s="10" t="s">
        <x:v>185</x:v>
      </x:c>
      <x:c r="B19" s="23" t="str">
        <x:f aca="0">IF(OR(NOT(ISNUMBER(B13)),NOT(ISNUMBER(B14))),"",B14-B13)</x:f>
      </x:c>
      <x:c r="D19" s="38" t="s">
        <x:v>186</x:v>
      </x:c>
      <x:c r="E19" s="39"/>
      <x:c r="F19" s="39"/>
      <x:c r="G19" s="39"/>
      <x:c r="H19" s="39"/>
    </x:row>
    <x:row r="22" ht="15" hidden="0">
      <x:c r="A22" s="3" t="s">
        <x:v>187</x:v>
      </x:c>
    </x:row>
    <x:row r="23" ht="25" hidden="0" customHeight="1">
      <x:c r="A23" s="38" t="str">
        <x:v>목표: 완벽 대응은 포션 절약, 평범 대응은 소진. 입력 없는 결과는 미확인.</x:v>
      </x:c>
      <x:c r="B23" s="39"/>
      <x:c r="C23" s="39"/>
      <x:c r="D23" s="39"/>
      <x:c r="E23" s="39"/>
      <x:c r="F23" s="39"/>
      <x:c r="G23" s="39"/>
      <x:c r="H23" s="39"/>
    </x:row>
    <x:row r="24" ht="25" hidden="0" customHeight="1">
      <x:c r="A24" s="40" t="s">
        <x:v>188</x:v>
      </x:c>
      <x:c r="B24" s="39"/>
      <x:c r="C24" s="39"/>
      <x:c r="D24" s="39"/>
      <x:c r="E24" s="39"/>
      <x:c r="F24" s="39"/>
      <x:c r="G24" s="39"/>
      <x:c r="H24" s="39"/>
    </x:row>
    <x:row r="25" ht="25" hidden="0" customHeight="1">
      <x:c r="A25" s="40" t="s">
        <x:v>189</x:v>
      </x:c>
      <x:c r="B25" s="39"/>
      <x:c r="C25" s="39"/>
      <x:c r="D25" s="39"/>
      <x:c r="E25" s="39"/>
      <x:c r="F25" s="39"/>
      <x:c r="G25" s="39"/>
      <x:c r="H25" s="39"/>
    </x:row>
  </x:sheetData>
  <x:mergeCells>
    <x:mergeCell ref="D13:H13"/>
    <x:mergeCell ref="D14:H14"/>
    <x:mergeCell ref="D15:H15"/>
    <x:mergeCell ref="D16:H16"/>
    <x:mergeCell ref="D17:H17"/>
    <x:mergeCell ref="D18:H18"/>
    <x:mergeCell ref="D19:H19"/>
    <x:mergeCell ref="A23:H23"/>
    <x:mergeCell ref="A24:H24"/>
    <x:mergeCell ref="A25:H2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7" hidden="0" customWidth="1"/>
    <x:col min="2" max="2" width="20" hidden="0" customWidth="1"/>
    <x:col min="3" max="4" width="13" hidden="0" customWidth="1"/>
    <x:col min="5" max="6" width="10" hidden="0" customWidth="1"/>
    <x:col min="7" max="7" width="20" hidden="0" customWidth="1"/>
    <x:col min="8" max="8" width="50" hidden="0" customWidth="1"/>
  </x:cols>
  <x:sheetData>
    <x:row r="1" ht="16.149999618530273" hidden="0">
      <x:c r="A1" s="15" t="s">
        <x:v>190</x:v>
      </x:c>
    </x:row>
    <x:row r="2" ht="15" hidden="0">
      <x:c r="A2" s="21" t="s">
        <x:v>191</x:v>
      </x:c>
    </x:row>
    <x:row r="4" ht="31.5" hidden="0" customHeight="1">
      <x:c r="A4" s="8" t="s">
        <x:v>192</x:v>
      </x:c>
      <x:c r="B4" s="8" t="s">
        <x:v>169</x:v>
      </x:c>
      <x:c r="C4" s="8" t="s">
        <x:v>193</x:v>
      </x:c>
      <x:c r="D4" s="8" t="s">
        <x:v>194</x:v>
      </x:c>
      <x:c r="E4" s="8" t="s">
        <x:v>195</x:v>
      </x:c>
      <x:c r="F4" s="8" t="s">
        <x:v>196</x:v>
      </x:c>
      <x:c r="G4" s="8" t="s">
        <x:v>197</x:v>
      </x:c>
      <x:c r="H4" s="8" t="s">
        <x:v>198</x:v>
      </x:c>
    </x:row>
    <x:row r="5" ht="15" hidden="0">
      <x:c r="A5" s="29" t="n">
        <x:v>1</x:v>
      </x:c>
      <x:c r="B5" s="30" t="s">
        <x:v>199</x:v>
      </x:c>
      <x:c r="C5" s="29" t="n">
        <x:v>40</x:v>
      </x:c>
      <x:c r="D5" s="29" t="n">
        <x:v>58</x:v>
      </x:c>
      <x:c r="E5" s="31" t="n">
        <x:f aca="0">IF(OR(NOT(ISNUMBER(C5)),NOT(ISNUMBER(D5))),"",D5-C5)</x:f>
        <x:v>18</x:v>
      </x:c>
      <x:c r="F5" s="32" t="n">
        <x:f aca="0">IF(OR(NOT(ISNUMBER(C5)),NOT(ISNUMBER(D5)),C5=0),"",(D5-C5)/C5)</x:f>
        <x:v>0.45</x:v>
      </x:c>
      <x:c r="G5" s="33" t="s">
        <x:v>200</x:v>
      </x:c>
      <x:c r="H5" s="33" t="s">
        <x:v>201</x:v>
      </x:c>
    </x:row>
    <x:row r="6" ht="15" hidden="0">
      <x:c r="A6" s="17"/>
      <x:c r="B6" s="20"/>
      <x:c r="C6" s="17"/>
      <x:c r="D6" s="17"/>
      <x:c r="E6" s="23" t="str">
        <x:f aca="0">IF(OR(NOT(ISNUMBER(C6)),NOT(ISNUMBER(D6))),"",D6-C6)</x:f>
      </x:c>
      <x:c r="F6" s="13" t="str">
        <x:f aca="0">IF(OR(NOT(ISNUMBER(C6)),NOT(ISNUMBER(D6)),C6=0),"",(D6-C6)/C6)</x:f>
      </x:c>
      <x:c r="G6" s="20"/>
      <x:c r="H6" s="20"/>
    </x:row>
    <x:row r="7" ht="15" hidden="0">
      <x:c r="A7" s="17"/>
      <x:c r="B7" s="20"/>
      <x:c r="C7" s="17"/>
      <x:c r="D7" s="17"/>
      <x:c r="E7" s="23" t="str">
        <x:f aca="0">IF(OR(NOT(ISNUMBER(C7)),NOT(ISNUMBER(D7))),"",D7-C7)</x:f>
      </x:c>
      <x:c r="F7" s="13" t="str">
        <x:f aca="0">IF(OR(NOT(ISNUMBER(C7)),NOT(ISNUMBER(D7)),C7=0),"",(D7-C7)/C7)</x:f>
      </x:c>
      <x:c r="G7" s="20"/>
      <x:c r="H7" s="20"/>
    </x:row>
    <x:row r="8" ht="15" hidden="0">
      <x:c r="A8" s="17"/>
      <x:c r="B8" s="20"/>
      <x:c r="C8" s="17"/>
      <x:c r="D8" s="17"/>
      <x:c r="E8" s="23" t="str">
        <x:f aca="0">IF(OR(NOT(ISNUMBER(C8)),NOT(ISNUMBER(D8))),"",D8-C8)</x:f>
      </x:c>
      <x:c r="F8" s="13" t="str">
        <x:f aca="0">IF(OR(NOT(ISNUMBER(C8)),NOT(ISNUMBER(D8)),C8=0),"",(D8-C8)/C8)</x:f>
      </x:c>
      <x:c r="G8" s="20"/>
      <x:c r="H8" s="20"/>
    </x:row>
    <x:row r="9" ht="15" hidden="0">
      <x:c r="A9" s="17"/>
      <x:c r="B9" s="20"/>
      <x:c r="C9" s="17"/>
      <x:c r="D9" s="17"/>
      <x:c r="E9" s="23" t="str">
        <x:f aca="0">IF(OR(NOT(ISNUMBER(C9)),NOT(ISNUMBER(D9))),"",D9-C9)</x:f>
      </x:c>
      <x:c r="F9" s="13" t="str">
        <x:f aca="0">IF(OR(NOT(ISNUMBER(C9)),NOT(ISNUMBER(D9)),C9=0),"",(D9-C9)/C9)</x:f>
      </x:c>
      <x:c r="G9" s="20"/>
      <x:c r="H9" s="20"/>
    </x:row>
    <x:row r="10" ht="15" hidden="0">
      <x:c r="A10" s="17"/>
      <x:c r="B10" s="20"/>
      <x:c r="C10" s="17"/>
      <x:c r="D10" s="17"/>
      <x:c r="E10" s="23" t="str">
        <x:f aca="0">IF(OR(NOT(ISNUMBER(C10)),NOT(ISNUMBER(D10))),"",D10-C10)</x:f>
      </x:c>
      <x:c r="F10" s="13" t="str">
        <x:f aca="0">IF(OR(NOT(ISNUMBER(C10)),NOT(ISNUMBER(D10)),C10=0),"",(D10-C10)/C10)</x:f>
      </x:c>
      <x:c r="G10" s="20"/>
      <x:c r="H10" s="20"/>
    </x:row>
    <x:row r="11" ht="15" hidden="0">
      <x:c r="A11" s="17"/>
      <x:c r="B11" s="20"/>
      <x:c r="C11" s="17"/>
      <x:c r="D11" s="17"/>
      <x:c r="E11" s="23" t="str">
        <x:f aca="0">IF(OR(NOT(ISNUMBER(C11)),NOT(ISNUMBER(D11))),"",D11-C11)</x:f>
      </x:c>
      <x:c r="F11" s="13" t="str">
        <x:f aca="0">IF(OR(NOT(ISNUMBER(C11)),NOT(ISNUMBER(D11)),C11=0),"",(D11-C11)/C11)</x:f>
      </x:c>
      <x:c r="G11" s="20"/>
      <x:c r="H11" s="20"/>
    </x:row>
    <x:row r="14" ht="39.54999923706055" hidden="0">
      <x:c r="A14" s="3" t="s">
        <x:v>202</x:v>
      </x:c>
      <x:c r="C14" s="27" t="n">
        <x:f aca="0">IFERROR(SUM(C6:C11),"")</x:f>
        <x:v>0</x:v>
      </x:c>
      <x:c r="E14" s="25" t="s">
        <x:v>203</x:v>
      </x:c>
    </x:row>
    <x:row r="15" ht="15" hidden="0">
      <x:c r="A15" s="3" t="s">
        <x:v>204</x:v>
      </x:c>
      <x:c r="C15" s="27" t="n">
        <x:f aca="0">IFERROR(SUM(D6:D11),"")</x:f>
        <x:v>0</x:v>
      </x:c>
    </x:row>
  </x:sheetData>
  <x:pageMargins left="0.7" right="0.7" top="0.75" bottom="0.75" header="0.3" footer="0.3"/>
</x:worksheet>
</file>