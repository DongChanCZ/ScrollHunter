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3e789d8d1643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5d69d4cccbff4223"/>
    <x:sheet xmlns:r="http://schemas.openxmlformats.org/officeDocument/2006/relationships" name="직업" sheetId="2" r:id="Rf18344cfc67c4f76"/>
    <x:sheet xmlns:r="http://schemas.openxmlformats.org/officeDocument/2006/relationships" name="스킬" sheetId="3" r:id="Rc906251a3d3e47f4"/>
    <x:sheet xmlns:r="http://schemas.openxmlformats.org/officeDocument/2006/relationships" name="덱시뮬" sheetId="4" r:id="R8a8a9ba6881045d7"/>
    <x:sheet xmlns:r="http://schemas.openxmlformats.org/officeDocument/2006/relationships" name="적" sheetId="5" r:id="R129acdc605d54390"/>
    <x:sheet xmlns:r="http://schemas.openxmlformats.org/officeDocument/2006/relationships" name="HP예산" sheetId="6" r:id="Re96747d556624d08"/>
    <x:sheet xmlns:r="http://schemas.openxmlformats.org/officeDocument/2006/relationships" name="인카운터" sheetId="7" r:id="R105d4fd406f24aff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<x:sst xmlns:x="http://schemas.openxmlformats.org/spreadsheetml/2006/main">
  <x:si>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</x:si>
  <x:si>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</x:si>
  <x:si>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</x:si>
  <x:si>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</x:si>
  <x:si>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</x:si>
  <x:si>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</x:si>
  <x:si>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</x:si>
  <x:si>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</x:si>
  <x:si>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</x:si>
  <x:si>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</x:si>
  <x:si>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</x:si>
  <x:si>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</x:si>
  <x:si>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</x:si>
  <x:si>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</x:si>
  <x:si>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</x:si>
  <x:si>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</x:si>
  <x:si>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</x:si>
  <x:si>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</x:si>
  <x:si>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</x:si>
  <x:si>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</x:si>
  <x:si>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</x:si>
  <x:si>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</x:si>
  <x:si>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</x:si>
  <x:si>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</x:si>
  <x:si>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</x:si>
  <x:si>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</x:si>
  <x:si>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</x:si>
  <x:si>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</x:si>
  <x:si>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</x:si>
  <x:si>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</x:si>
  <x:si>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</x:si>
  <x:si>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</x:si>
  <x:si>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</x:si>
  <x:si>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</x:si>
  <x:si>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</x:si>
  <x:si>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</x:si>
  <x:si>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</x:si>
  <x:si>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</x:si>
  <x:si>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</x:si>
  <x:si>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</x:si>
  <x:si>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</x:si>
  <x:si>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</x:si>
  <x:si>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</x:si>
  <x:si>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포션 횟수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런 전체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</x:si>
  <x:si>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</x:si>
  <x:si>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</x:si>
  <x:si>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</x:si>
  <x:si>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</x:si>
  <x:si>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</x:si>
  <x:si>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</x:si>
  <x:si>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</x:si>
  <x:si>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</x:si>
  <x:si>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</x:si>
  <x:si>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</x:si>
  <x:si>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</x:si>
  <x:si>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</x:si>
  <x:si>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</x:si>
  <x:si>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</x:si>
  <x:si>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</x:si>
  <x:si>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</x:si>
  <x:si>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</x:si>
  <x:si>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"/>
        <x:color rgb="FFFFFFFF"/>
        <x:rFont val="Noto Sans CJK SC"/>
        <x:family val="2"/>
      </x:rPr>
      <x:t xml:space="preserve">기대 피해 </x:t>
    </x:r>
    <x:r>
      <x:rPr>
        <x:b/>
        <x:sz val="10"/>
        <x:color rgb="FFFFFFFF"/>
        <x:rFont val="Arial"/>
      </x:rPr>
      <x:t xml:space="preserve">(1</x:t>
    </x:r>
    <x:r>
      <x:rPr>
        <x:b/>
        <x:sz val="10"/>
        <x:color rgb="FFFFFFFF"/>
        <x:rFont val="Noto Sans CJK SC"/>
        <x:family val="2"/>
      </x:rPr>
      <x:t xml:space="preserve">체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</x:si>
  <x:si>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기대 피해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</x:si>
  <x:si>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코스트당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보스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</x:si>
  <x:si>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코스트당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</x:si>
  <x:si>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시간당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</x:si>
  <x:si>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</x:si>
  <x:si>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</x:si>
  <x:si>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</x:si>
  <x:si>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</x:si>
  <x:si>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</x:si>
  <x:si>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"/>
        <x:color rgb="FF808080"/>
        <x:rFont val="Noto Sans CJK SC"/>
        <x:family val="2"/>
      </x:rPr>
      <x:t xml:space="preserve">차단</x:t>
    </x:r>
    <x:r>
      <x:rPr>
        <x:i/>
        <x:sz val="9"/>
        <x:color rgb="FF808080"/>
        <x:rFont val="Arial"/>
      </x:rPr>
      <x:t xml:space="preserve">·</x:t>
    </x:r>
    <x:r>
      <x:rPr>
        <x:i/>
        <x:sz val="9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</x:si>
  <x:si>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</x:si>
  <x:si>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</x:si>
  <x:si>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1.30 </x:t>
    </x:r>
    <x:r>
      <x:rPr>
        <x:i/>
        <x:sz val="9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</x:si>
  <x:si>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</x:si>
  <x:si>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</x:si>
  <x:si>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</x:si>
  <x:si>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</x:si>
  <x:si>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"/>
        <x:rFont val="Noto Sans CJK SC"/>
        <x:family val="2"/>
      </x:rPr>
      <x:t xml:space="preserve">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단일 장수</x:t>
    </x:r>
  </x:si>
  <x:si>
    <x:r>
      <x:rPr>
        <x:sz val="10"/>
        <x:rFont val="Noto Sans CJK SC"/>
        <x:family val="2"/>
      </x:rPr>
      <x:t xml:space="preserve">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광역 장수</x:t>
    </x:r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</x:si>
  <x:si>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</x:si>
  <x:si>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</x:si>
  <x:si>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</x:si>
  <x:si>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"/>
        <x:rFont val="Noto Sans CJK SC"/>
        <x:family val="2"/>
      </x:rPr>
      <x:t xml:space="preserve">단일 </x:t>
    </x:r>
    <x:r>
      <x:rPr>
        <x:b/>
        <x:sz val="10"/>
        <x:rFont val="Arial"/>
      </x:rPr>
      <x:t xml:space="preserve">/ </x:t>
    </x:r>
    <x:r>
      <x:rPr>
        <x:b/>
        <x:sz val="10"/>
        <x:rFont val="Noto Sans CJK SC"/>
        <x:family val="2"/>
      </x:rPr>
      <x:t xml:space="preserve">광역 설계</x:t>
    </x:r>
  </x:si>
  <x:si>
    <x:r>
      <x:rPr>
        <x:i/>
        <x:sz val="9"/>
        <x:color rgb="FF808080"/>
        <x:rFont val="Arial"/>
      </x:rPr>
      <x:t xml:space="preserve">L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보스 기준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과 </x:t>
    </x:r>
    <x:r>
      <x:rPr>
        <x:i/>
        <x:sz val="9"/>
        <x:color rgb="FF808080"/>
        <x:rFont val="Arial"/>
      </x:rPr>
      <x:t xml:space="preserve">M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잡몹 기준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의 격차가 크면 그 카드는 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상황용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입니다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격차가 없으면 범용입니다</x:t>
    </x:r>
    <x:r>
      <x:rPr>
        <x:i/>
        <x:sz val="9"/>
        <x:color rgb="FF808080"/>
        <x:rFont val="Arial"/>
      </x:rPr>
      <x:t xml:space="preserve">.</x:t>
    </x:r>
  </x:si>
  <x:si>
    <x:r>
      <x:rPr>
        <x:i/>
        <x:sz val="9"/>
        <x:color rgb="FF808080"/>
        <x:rFont val="Noto Sans CJK SC"/>
        <x:family val="2"/>
      </x:rPr>
      <x:t xml:space="preserve">보스전은 적 </x:t>
    </x:r>
    <x:r>
      <x:rPr>
        <x:i/>
        <x:sz val="9"/>
        <x:color rgb="FF808080"/>
        <x:rFont val="Arial"/>
      </x:rPr>
      <x:t xml:space="preserve">1</x:t>
    </x:r>
    <x:r>
      <x:rPr>
        <x:i/>
        <x:sz val="9"/>
        <x:color rgb="FF808080"/>
        <x:rFont val="Noto Sans CJK SC"/>
        <x:family val="2"/>
      </x:rPr>
      <x:t xml:space="preserve">체이므로 광역기는 </x:t>
    </x:r>
    <x:r>
      <x:rPr>
        <x:i/>
        <x:sz val="9"/>
        <x:color rgb="FF808080"/>
        <x:rFont val="Arial"/>
      </x:rPr>
      <x:t xml:space="preserve">L</x:t>
    </x:r>
    <x:r>
      <x:rPr>
        <x:i/>
        <x:sz val="9"/>
        <x:color rgb="FF808080"/>
        <x:rFont val="Noto Sans CJK SC"/>
        <x:family val="2"/>
      </x:rPr>
      <x:t xml:space="preserve">열 값만 나옵니다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덱 </x:t>
    </x:r>
    <x:r>
      <x:rPr>
        <x:i/>
        <x:sz val="9"/>
        <x:color rgb="FF808080"/>
        <x:rFont val="Arial"/>
      </x:rPr>
      <x:t xml:space="preserve">8</x:t>
    </x:r>
    <x:r>
      <x:rPr>
        <x:i/>
        <x:sz val="9"/>
        <x:color rgb="FF808080"/>
        <x:rFont val="Noto Sans CJK SC"/>
        <x:family val="2"/>
      </x:rPr>
      <x:t xml:space="preserve">장에 상황용을 몇 장 넣을지가 결정이 됩니다</x:t>
    </x:r>
    <x:r>
      <x:rPr>
        <x:i/>
        <x:sz val="9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</x:si>
  <x:si>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</x:si>
  <x:si>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</x:si>
  <x:si>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</x:si>
  <x:si>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</x:si>
  <x:si>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</x:si>
  <x:si>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</x:si>
  <x:si>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</x:si>
  <x:si>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</x:si>
  <x:si>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</x:si>
  <x:si>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</x:si>
  <x:si>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</x:si>
  <x:si>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</x:si>
  <x:si>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</x:si>
  <x:si>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</x:si>
  <x:si>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</x:si>
  <x:si>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</x:si>
  <x:si>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</x:si>
  <x:si>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</x:si>
  <x:si>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</x:si>
  <x:si>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</x:si>
  <x:si>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</x:si>
  <x:si>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"/>
        <x:color rgb="FFFFFFFF"/>
        <x:rFont val="Noto Sans CJK SC"/>
        <x:family val="2"/>
      </x:rPr>
      <x:t xml:space="preserve">캐스팅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</x:si>
  <x:si>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</x:si>
  <x:si>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</x:si>
  <x:si>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A</x:t>
    </x:r>
  </x:si>
  <x:si>
    <x:t xml:space="preserve">초록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</x:si>
  <x:si>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B</x:t>
    </x:r>
  </x:si>
  <x:si>
    <x:t xml:space="preserve">주황</x:t>
  </x:si>
  <x:si>
    <x:t xml:space="preserve">가능</x:t>
  </x:si>
  <x:si>
    <x:t xml:space="preserve">차단 카드의 존재와 사용 타이밍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</x:si>
  <x:si>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C</x:t>
    </x:r>
  </x:si>
  <x:si>
    <x:t xml:space="preserve">빨강</x:t>
  </x:si>
  <x:si>
    <x:t xml:space="preserve">불가</x:t>
  </x:si>
  <x:si>
    <x:t xml:space="preserve">방어도 카드의 존재</x:t>
  </x:si>
  <x:si>
    <x:r>
      <x:rPr>
        <x:b/>
        <x:sz val="13"/>
        <x:rFont val="Noto Sans CJK SC"/>
        <x:family val="2"/>
      </x:rPr>
      <x:t xml:space="preserve">런 전체 </x:t>
    </x:r>
    <x:r>
      <x:rPr>
        <x:b/>
        <x:sz val="13"/>
        <x:rFont val="Arial"/>
      </x:rPr>
      <x:t xml:space="preserve">HP </x:t>
    </x:r>
    <x:r>
      <x:rPr>
        <x:b/>
        <x:sz val="13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</x:si>
  <x:si>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</x:si>
  <x:si>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</x:si>
  <x:si>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</x:si>
  <x:si>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</x:si>
  <x:si>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"/>
        <x:color rgb="FFFFFFFF"/>
        <x:rFont val="Noto Sans CJK SC"/>
        <x:family val="2"/>
      </x:rPr>
      <x:t xml:space="preserve">누적 </x:t>
    </x:r>
    <x:r>
      <x:rPr>
        <x:b/>
        <x:sz val="10"/>
        <x:color rgb="FFFFFFFF"/>
        <x:rFont val="Arial"/>
      </x:rPr>
      <x:t xml:space="preserve">HP (</x:t>
    </x:r>
    <x:r>
      <x:rPr>
        <x:b/>
        <x:sz val="10"/>
        <x:color rgb="FFFFFFFF"/>
        <x:rFont val="Noto Sans CJK SC"/>
        <x:family val="2"/>
      </x:rPr>
      <x:t xml:space="preserve">완벽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</x:si>
  <x:si>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누적 </x:t>
    </x:r>
    <x:r>
      <x:rPr>
        <x:b/>
        <x:sz val="10"/>
        <x:color rgb="FFFFFFFF"/>
        <x:rFont val="Arial"/>
      </x:rPr>
      <x:t xml:space="preserve">HP (</x:t>
    </x:r>
    <x:r>
      <x:rPr>
        <x:b/>
        <x:sz val="10"/>
        <x:color rgb="FFFFFFFF"/>
        <x:rFont val="Noto Sans CJK SC"/>
        <x:family val="2"/>
      </x:rPr>
      <x:t xml:space="preserve">평범</x:t>
    </x:r>
    <x:r>
      <x:rPr>
        <x:b/>
        <x:sz val="1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</x:si>
  <x:si>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</x:si>
  <x:si>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</x:si>
  <x:si>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</x:si>
  <x:si>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</x:si>
  <x:si>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</x:si>
  <x:si>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</x:si>
  <x:si>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</x:si>
  <x:si>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</x:si>
  <x:si>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</x:si>
  <x:si>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</x:si>
  <x:si>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</x:si>
  <x:si>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</x:si>
  <x:si>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</x:si>
  <x:si>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</x:si>
  <x:si>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</x:si>
  <x:si>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</x:si>
  <x:si>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r>
      <x:rPr>
        <x:i/>
        <x:sz val="9"/>
        <x:color rgb="FF808080"/>
        <x:rFont val="Arial"/>
      </x:rPr>
      <x:t xml:space="preserve">D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실측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</x:t>
    </x:r>
    <x:r>
      <x:rPr>
        <x:i/>
        <x:sz val="9"/>
        <x:color rgb="FF808080"/>
        <x:rFont val="Arial"/>
      </x:rPr>
      <x:t xml:space="preserve">18</x:t>
    </x:r>
    <x:r>
      <x:rPr>
        <x:i/>
        <x:sz val="9"/>
        <x:color rgb="FF808080"/>
        <x:rFont val="Noto Sans CJK SC"/>
        <x:family val="2"/>
      </x:rPr>
      <x:t xml:space="preserve">일차에 스톱워치로 측정해 기입</x:t>
    </x:r>
    <x:r>
      <x:rPr>
        <x:i/>
        <x:sz val="9"/>
        <x:color rgb="FF808080"/>
        <x:rFont val="Arial"/>
      </x:rPr>
      <x:t xml:space="preserve">. E·F</x:t>
    </x:r>
    <x:r>
      <x:rPr>
        <x:i/>
        <x:sz val="9"/>
        <x:color rgb="FF808080"/>
        <x:rFont val="Noto Sans CJK SC"/>
        <x:family val="2"/>
      </x:rPr>
      <x:t xml:space="preserve">열은 자동 계산</x:t>
    </x:r>
    <x:r>
      <x:rPr>
        <x:i/>
        <x:sz val="9"/>
        <x:color rgb="FF808080"/>
        <x:rFont val="Arial"/>
      </x:rPr>
      <x:t xml:space="preserve">.</x:t>
    </x:r>
  </x:si>
  <x:si>
    <x:t xml:space="preserve">번호</x:t>
  </x:si>
  <x:si>
    <x:r>
      <x:rPr>
        <x:b/>
        <x:sz val="10"/>
        <x:color rgb="FFFFFFFF"/>
        <x:rFont val="Noto Sans CJK SC"/>
        <x:family val="2"/>
      </x:rPr>
      <x:t xml:space="preserve">목표 시간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</x:si>
  <x:si>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실측 시간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</x:si>
  <x:si>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차이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</x:si>
  <x:si>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</x:si>
  <x:si>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</x:si>
  <x:si>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</x:si>
  <x:si>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예시</x:t>
    </x:r>
    <x:r>
      <x:rPr>
        <x:i/>
        <x:sz val="9"/>
        <x:color rgb="FF808080"/>
        <x:rFont val="Arial"/>
      </x:rPr>
      <x:t xml:space="preserve">) </x:t>
    </x:r>
    <x:r>
      <x:rPr>
        <x:i/>
        <x:sz val="9"/>
        <x:color rgb="FF808080"/>
        <x:rFont val="Noto Sans CJK SC"/>
        <x:family val="2"/>
      </x:rPr>
      <x:t xml:space="preserve">잡몹</x:t>
    </x:r>
    <x:r>
      <x:rPr>
        <x:i/>
        <x:sz val="9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</x:si>
  <x:si>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</x:si>
  <x:si>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"/>
        <x:color rgb="FF808080"/>
        <x:rFont val="Noto Sans CJK SC"/>
        <x:family val="2"/>
      </x:rPr>
      <x:t xml:space="preserve">목표 대비 </x:t>
    </x:r>
    <x:r>
      <x:rPr>
        <x:i/>
        <x:sz val="9"/>
        <x:color rgb="FF808080"/>
        <x:rFont val="Arial"/>
      </x:rPr>
      <x:t xml:space="preserve">45% </x:t>
    </x:r>
    <x:r>
      <x:rPr>
        <x:i/>
        <x:sz val="9"/>
        <x:color rgb="FF808080"/>
        <x:rFont val="Noto Sans CJK SC"/>
        <x:family val="2"/>
      </x:rPr>
      <x:t xml:space="preserve">초과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적 </x:t>
    </x:r>
    <x:r>
      <x:rPr>
        <x:i/>
        <x:sz val="9"/>
        <x:color rgb="FF808080"/>
        <x:rFont val="Arial"/>
      </x:rPr>
      <x:t xml:space="preserve">HP 300→220 </x:t>
    </x:r>
    <x:r>
      <x:rPr>
        <x:i/>
        <x:sz val="9"/>
        <x:color rgb="FF808080"/>
        <x:rFont val="Noto Sans CJK SC"/>
        <x:family val="2"/>
      </x:rPr>
      <x:t xml:space="preserve">하향 </x:t>
    </x:r>
    <x:r>
      <x:rPr>
        <x:i/>
        <x:sz val="9"/>
        <x:color rgb="FF808080"/>
        <x:rFont val="Arial"/>
      </x:rPr>
      <x:t xml:space="preserve">(18</x:t>
    </x:r>
    <x:r>
      <x:rPr>
        <x:i/>
        <x:sz val="9"/>
        <x:color rgb="FF808080"/>
        <x:rFont val="Noto Sans CJK SC"/>
        <x:family val="2"/>
      </x:rPr>
      <x:t xml:space="preserve">일차</x:t>
    </x:r>
    <x:r>
      <x:rPr>
        <x:i/>
        <x:sz val="9"/>
        <x:color rgb="FF808080"/>
        <x:rFont val="Arial"/>
      </x:rPr>
      <x:t xml:space="preserve">)</x:t>
    </x:r>
  </x:si>
  <x:si>
    <x:r>
      <x:rPr>
        <x:b/>
        <x:sz val="10"/>
        <x:rFont val="Noto Sans CJK SC"/>
        <x:family val="2"/>
      </x:rPr>
      <x:t xml:space="preserve">총 목표 전투 시간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초</x:t>
    </x:r>
    <x:r>
      <x:rPr>
        <x:b/>
        <x:sz val="10"/>
        <x:rFont val="Arial"/>
      </x:rPr>
      <x:t xml:space="preserve">)</x:t>
    </x:r>
  </x:si>
  <x:si>
    <x:r>
      <x:rPr>
        <x:i/>
        <x:sz val="9"/>
        <x:color rgb="FF808080"/>
        <x:rFont val="Noto Sans CJK SC"/>
        <x:family val="2"/>
      </x:rPr>
      <x:t xml:space="preserve">목표</x:t>
    </x:r>
    <x:r>
      <x:rPr>
        <x:i/>
        <x:sz val="9"/>
        <x:color rgb="FF808080"/>
        <x:rFont val="Arial"/>
      </x:rPr>
      <x:t xml:space="preserve">: </x:t>
    </x:r>
    <x:r>
      <x:rPr>
        <x:i/>
        <x:sz val="9"/>
        <x:color rgb="FF808080"/>
        <x:rFont val="Noto Sans CJK SC"/>
        <x:family val="2"/>
      </x:rPr>
      <x:t xml:space="preserve">전투 합계 </x:t>
    </x:r>
    <x:r>
      <x:rPr>
        <x:i/>
        <x:sz val="9"/>
        <x:color rgb="FF808080"/>
        <x:rFont val="Arial"/>
      </x:rPr>
      <x:t xml:space="preserve">6~7</x:t>
    </x:r>
    <x:r>
      <x:rPr>
        <x:i/>
        <x:sz val="9"/>
        <x:color rgb="FF808080"/>
        <x:rFont val="Noto Sans CJK SC"/>
        <x:family val="2"/>
      </x:rPr>
      <x:t xml:space="preserve">분 </x:t>
    </x:r>
    <x:r>
      <x:rPr>
        <x:i/>
        <x:sz val="9"/>
        <x:color rgb="FF808080"/>
        <x:rFont val="Arial"/>
      </x:rPr>
      <x:t xml:space="preserve">(360~420</x:t>
    </x:r>
    <x:r>
      <x:rPr>
        <x:i/>
        <x:sz val="9"/>
        <x:color rgb="FF808080"/>
        <x:rFont val="Noto Sans CJK SC"/>
        <x:family val="2"/>
      </x:rPr>
      <x:t xml:space="preserve">초</x:t>
    </x:r>
    <x:r>
      <x:rPr>
        <x:i/>
        <x:sz val="9"/>
        <x:color rgb="FF808080"/>
        <x:rFont val="Arial"/>
      </x:rPr>
      <x:t xml:space="preserve">)</x:t>
    </x:r>
  </x:si>
  <x:si>
    <x:r>
      <x:rPr>
        <x:b/>
        <x:sz val="10"/>
        <x:rFont val="Noto Sans CJK SC"/>
        <x:family val="2"/>
      </x:rPr>
      <x:t xml:space="preserve">총 실측 전투 시간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초</x:t>
    </x:r>
    <x:r>
      <x:rPr>
        <x:b/>
        <x:sz val="1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</x:si>
</x:sst>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bb459d35684422" /><Relationship Type="http://schemas.openxmlformats.org/officeDocument/2006/relationships/theme" Target="/xl/theme/theme1.xml" Id="R5b89d259dee84c79" /><Relationship Type="http://schemas.openxmlformats.org/officeDocument/2006/relationships/sharedStrings" Target="/xl/sharedStrings.xml" Id="Rdbcd355553694d6c" /><Relationship Type="http://schemas.openxmlformats.org/officeDocument/2006/relationships/worksheet" Target="/xl/worksheets/sheet1.xml" Id="R5d69d4cccbff4223" /><Relationship Type="http://schemas.openxmlformats.org/officeDocument/2006/relationships/worksheet" Target="/xl/worksheets/sheet2.xml" Id="Rf18344cfc67c4f76" /><Relationship Type="http://schemas.openxmlformats.org/officeDocument/2006/relationships/worksheet" Target="/xl/worksheets/sheet3.xml" Id="Rc906251a3d3e47f4" /><Relationship Type="http://schemas.openxmlformats.org/officeDocument/2006/relationships/worksheet" Target="/xl/worksheets/sheet4.xml" Id="R8a8a9ba6881045d7" /><Relationship Type="http://schemas.openxmlformats.org/officeDocument/2006/relationships/worksheet" Target="/xl/worksheets/sheet5.xml" Id="R129acdc605d54390" /><Relationship Type="http://schemas.openxmlformats.org/officeDocument/2006/relationships/worksheet" Target="/xl/worksheets/sheet6.xml" Id="Re96747d556624d08" /><Relationship Type="http://schemas.openxmlformats.org/officeDocument/2006/relationships/worksheet" Target="/xl/worksheets/sheet7.xml" Id="R105d4fd406f24aff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tr">
        <x:v>구현 스킬 11종 계산. 미구현 3종은 03 초안 참조</x:v>
      </x:c>
    </x:row>
    <x:row r="12" ht="29.850000381469727" hidden="0">
      <x:c r="A12" s="7" t="s">
        <x:v>13</x:v>
      </x:c>
      <x:c r="B12" s="6" t="s">
        <x:v>14</x:v>
      </x:c>
    </x:row>
    <x:row r="13" ht="15" hidden="0">
      <x:c r="A13" s="7" t="s">
        <x:v>15</x:v>
      </x:c>
      <x:c r="B13" s="6" t="str">
        <x:v>현재 A·B·C. 주 공격 기준, 전체 패턴은 04 참조</x:v>
      </x:c>
    </x:row>
    <x:row r="14" ht="15" hidden="0">
      <x:c r="A14" s="7" t="s">
        <x:v>16</x:v>
      </x:c>
      <x:c r="B14" s="6" t="s">
        <x:v>17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18</x:v>
      </x:c>
      <x:c r="B18" s="8" t="s">
        <x:v>19</x:v>
      </x:c>
      <x:c r="C18" s="8" t="s">
        <x:v>20</x:v>
      </x:c>
      <x:c r="D18" s="8" t="s">
        <x:v>21</x:v>
      </x:c>
    </x:row>
    <x:row r="19" ht="15" hidden="0">
      <x:c r="A19" s="9" t="s">
        <x:v>22</x:v>
      </x:c>
      <x:c r="B19" s="10" t="s">
        <x:v>23</x:v>
      </x:c>
      <x:c r="C19" s="11" t="n">
        <x:v>1.5</x:v>
      </x:c>
      <x:c r="D19" s="12" t="str">
        <x:v>10 A25·T21. 패시브 없는 기본값</x:v>
      </x:c>
    </x:row>
    <x:row r="20" ht="15" hidden="0">
      <x:c r="A20" s="9" t="s">
        <x:v>24</x:v>
      </x:c>
      <x:c r="B20" s="10" t="s">
        <x:v>25</x:v>
      </x:c>
      <x:c r="C20" s="11" t="n">
        <x:v>100</x:v>
      </x:c>
      <x:c r="D20" s="12" t="s">
        <x:v>26</x:v>
      </x:c>
    </x:row>
    <x:row r="21" ht="15" hidden="0">
      <x:c r="A21" s="9" t="s">
        <x:v>27</x:v>
      </x:c>
      <x:c r="B21" s="10" t="s">
        <x:v>28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29</x:v>
      </x:c>
      <x:c r="B22" s="10" t="s">
        <x:v>30</x:v>
      </x:c>
      <x:c r="C22" s="13" t="n">
        <x:f aca="0">C21/(C21+C20)</x:f>
        <x:v>0</x:v>
      </x:c>
      <x:c r="D22" s="10" t="s">
        <x:v>31</x:v>
      </x:c>
    </x:row>
    <x:row r="23" ht="15" hidden="0">
      <x:c r="A23" s="9" t="s">
        <x:v>32</x:v>
      </x:c>
      <x:c r="B23" s="10" t="s">
        <x:v>33</x:v>
      </x:c>
      <x:c r="C23" s="11" t="n">
        <x:v>0.8</x:v>
      </x:c>
      <x:c r="D23" s="12" t="s">
        <x:v>26</x:v>
      </x:c>
    </x:row>
    <x:row r="24" ht="15" hidden="0">
      <x:c r="A24" s="9" t="s">
        <x:v>34</x:v>
      </x:c>
      <x:c r="B24" s="10" t="s">
        <x:v>35</x:v>
      </x:c>
      <x:c r="C24" s="11" t="n">
        <x:v>10</x:v>
      </x:c>
      <x:c r="D24" s="12" t="s">
        <x:v>26</x:v>
      </x:c>
    </x:row>
    <x:row r="25" ht="15" hidden="0">
      <x:c r="A25" s="9" t="s">
        <x:v>36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37</x:v>
      </x:c>
      <x:c r="B26" s="10" t="s">
        <x:v>38</x:v>
      </x:c>
      <x:c r="C26" s="11" t="n">
        <x:v>0.4</x:v>
      </x:c>
      <x:c r="D26" s="10" t="s">
        <x:v>39</x:v>
      </x:c>
    </x:row>
    <x:row r="27" ht="15" hidden="0">
      <x:c r="A27" s="9" t="s">
        <x:v>40</x:v>
      </x:c>
      <x:c r="B27" s="10" t="s">
        <x:v>41</x:v>
      </x:c>
      <x:c r="C27" s="11" t="n">
        <x:v>45</x:v>
      </x:c>
      <x:c r="D27" s="12" t="s">
        <x:v>26</x:v>
      </x:c>
    </x:row>
    <x:row r="28" ht="15" hidden="0">
      <x:c r="A28" s="9" t="s">
        <x:v>42</x:v>
      </x:c>
      <x:c r="B28" s="10" t="s">
        <x:v>41</x:v>
      </x:c>
      <x:c r="C28" s="11" t="n">
        <x:v>180</x:v>
      </x:c>
      <x:c r="D28" s="12" t="s">
        <x:v>26</x:v>
      </x:c>
    </x:row>
    <x:row r="29" ht="15" hidden="0">
      <x:c r="A29" s="9" t="s">
        <x:v>43</x:v>
      </x:c>
      <x:c r="B29" s="10" t="str">
        <x:v>최대 HP의 30%씩 회복</x:v>
      </x:c>
      <x:c r="C29" s="11" t="n">
        <x:v>3</x:v>
      </x:c>
      <x:c r="D29" s="10" t="str">
        <x:v>10 A8·A28. 시작 3개, 보충 없음</x:v>
      </x:c>
    </x:row>
    <x:row r="30" ht="15" hidden="0">
      <x:c r="A30" s="9" t="s">
        <x:v>44</x:v>
      </x:c>
      <x:c r="B30" s="10" t="str">
        <x:v>정식 런 계획의 광역 피해 참고값</x:v>
      </x:c>
      <x:c r="C30" s="11" t="n">
        <x:v>2.25</x:v>
      </x:c>
      <x:c r="D30" s="10" t="str">
        <x:v>5전투 계획의 잡몹전 평균. 현재 시연은 B→C→B+C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2026-09-23: 현재 스킬·치명타·포션·HP 시험값 반영. 이전 파일은 보관/2026-09-23_정정전.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45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46</x:v>
      </x:c>
      <x:c r="B4" s="16" t="s">
        <x:v>47</x:v>
      </x:c>
      <x:c r="C4" s="8" t="s">
        <x:v>48</x:v>
      </x:c>
      <x:c r="D4" s="8" t="str">
        <x:v>적용 크리율</x:v>
      </x:c>
      <x:c r="E4" s="8" t="s">
        <x:v>49</x:v>
      </x:c>
      <x:c r="F4" s="8" t="s">
        <x:v>50</x:v>
      </x:c>
    </x:row>
    <x:row r="5" ht="15" hidden="0" customHeight="1">
      <x:c r="A5" s="17" t="s">
        <x:v>51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52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</x:cols>
  <x:sheetData>
    <x:row r="1" ht="20.100000381469727" hidden="0">
      <x:c r="A1" s="15" t="s">
        <x:v>53</x:v>
      </x:c>
    </x:row>
    <x:row r="2" ht="15" hidden="0">
      <x:c r="A2" s="2" t="str">
        <x:v>현재 구현 11종, 미구현 3종 수치는 비움. 10 A20·A23·A25 기준, 패시브·과잉 피해·시전 취소 제외.</x:v>
      </x:c>
    </x:row>
    <x:row r="4" ht="31.5" hidden="0" customHeight="1">
      <x:c r="A4" s="16" t="s">
        <x:v>54</x:v>
      </x:c>
      <x:c r="B4" s="8" t="s">
        <x:v>55</x:v>
      </x:c>
      <x:c r="C4" s="8" t="s">
        <x:v>56</x:v>
      </x:c>
      <x:c r="D4" s="8" t="s">
        <x:v>57</x:v>
      </x:c>
      <x:c r="E4" s="8" t="str">
        <x:v>시전/채널(초)</x:v>
      </x:c>
      <x:c r="F4" s="8" t="s">
        <x:v>58</x:v>
      </x:c>
      <x:c r="G4" s="8" t="str">
        <x:v>1타 피해</x:v>
      </x:c>
      <x:c r="H4" s="8" t="s">
        <x:v>59</x:v>
      </x:c>
      <x:c r="I4" s="8" t="s">
        <x:v>60</x:v>
      </x:c>
      <x:c r="J4" s="8" t="s">
        <x:v>61</x:v>
      </x:c>
      <x:c r="K4" s="8" t="s">
        <x:v>62</x:v>
      </x:c>
      <x:c r="L4" s="8" t="s">
        <x:v>63</x:v>
      </x:c>
      <x:c r="M4" s="8" t="s">
        <x:v>64</x:v>
      </x:c>
      <x:c r="N4" s="8" t="s">
        <x:v>65</x:v>
      </x:c>
      <x:c r="O4" s="8" t="s">
        <x:v>66</x:v>
      </x:c>
      <x:c r="P4" s="8" t="s">
        <x:v>67</x:v>
      </x:c>
      <x:c r="Q4" s="8" t="str">
        <x:v>구현·발동 방식</x:v>
      </x:c>
      <x:c r="R4" s="8" t="s">
        <x:v>68</x:v>
      </x:c>
      <x:c r="S4" s="8" t="s">
        <x:v>69</x:v>
      </x:c>
    </x:row>
    <x:row r="5" ht="15" hidden="0">
      <x:c r="A5" s="11" t="str">
        <x:v>SK01</x:v>
      </x:c>
      <x:c r="B5" s="17" t="str">
        <x:v>파이어볼</x:v>
      </x:c>
      <x:c r="C5" s="17" t="str">
        <x:v>딜/단일</x:v>
      </x:c>
      <x:c r="D5" s="17" t="n">
        <x:v>1</x:v>
      </x:c>
      <x:c r="E5" s="17" t="n">
        <x:v>0</x:v>
      </x:c>
      <x:c r="F5" s="22" t="n">
        <x:f aca="0">IF(NOT(ISNUMBER(E5)),"",MAX(E5,'범례'!$C$26))</x:f>
        <x:v>0.4</x:v>
      </x:c>
      <x:c r="G5" s="17" t="n">
        <x:v>30</x:v>
      </x:c>
      <x:c r="H5" s="17" t="n">
        <x:v>1</x:v>
      </x:c>
      <x:c r="I5" s="19" t="n">
        <x:f aca="0">IF(OR(NOT(ISNUMBER(G5)),NOT(ISNUMBER(H5))),"",G5*MAX(1,H5))</x:f>
        <x:v>30</x:v>
      </x:c>
      <x:c r="J5" s="41" t="n">
        <x:f aca="0">IF(OR(NOT(ISNUMBER(G5)),NOT(ISNUMBER(H5))),"",IF(G5&lt;=0,0,((1-'직업'!$D$5)*MAX(1,INT(G5*'범례'!$C$20/('범례'!$C$21+'범례'!$C$20)+0.5))+'직업'!$D$5*MAX(1,INT(G5*'범례'!$C$20/('범례'!$C$21+'범례'!$C$20)*'범례'!$C$19+0.5)))*MAX(1,H5)))</x:f>
        <x:v>32.25</x:v>
      </x:c>
      <x:c r="K5" s="41" t="n">
        <x:f aca="0">IF(NOT(ISNUMBER(J5)),"",J5*IF(ISNUMBER(SEARCH("광역",$C5)),'범례'!$C$30,1))</x:f>
        <x:v>32.25</x:v>
      </x:c>
      <x:c r="L5" s="22" t="n">
        <x:f aca="0">IF(OR(NOT(ISNUMBER(J5)),NOT(ISNUMBER(D5)),D5=0),"",J5/D5)</x:f>
        <x:v>32.25</x:v>
      </x:c>
      <x:c r="M5" s="22" t="n">
        <x:f aca="0">IF(OR(NOT(ISNUMBER(K5)),NOT(ISNUMBER(D5)),D5=0),"",K5/D5)</x:f>
        <x:v>32.25</x:v>
      </x:c>
      <x:c r="N5" s="22" t="n">
        <x:f aca="0">IF(OR(NOT(ISNUMBER(K5)),NOT(ISNUMBER(F5)),F5=0),"",K5/F5)</x:f>
        <x:v>80.625</x:v>
      </x:c>
      <x:c r="O5" s="17" t="n">
        <x:v>0</x:v>
      </x:c>
      <x:c r="P5" s="17" t="n">
        <x:v>0</x:v>
      </x:c>
      <x:c r="Q5" s="20" t="str">
        <x:v>시작 덱. 일반 시전</x:v>
      </x:c>
      <x:c r="R5" s="22" t="n">
        <x:f aca="0">IF(AND(LEFT($C5,1)="딜",ISNUMBER(M5)),M5,"")</x:f>
        <x:v>32.25</x:v>
      </x:c>
      <x:c r="S5" s="22" t="n">
        <x:f aca="0">IF(AND(LEFT($C5,1)="딜",ISNUMBER(N5)),N5,"")</x:f>
        <x:v>80.625</x:v>
      </x:c>
    </x:row>
    <x:row r="6" ht="15" hidden="0">
      <x:c r="A6" s="11" t="str">
        <x:v>SK02</x:v>
      </x:c>
      <x:c r="B6" s="17" t="str">
        <x:v>아이스애로우</x:v>
      </x:c>
      <x:c r="C6" s="17" t="str">
        <x:v>딜/단일</x:v>
      </x:c>
      <x:c r="D6" s="17" t="n">
        <x:v>5</x:v>
      </x:c>
      <x:c r="E6" s="17" t="n">
        <x:v>2.8</x:v>
      </x:c>
      <x:c r="F6" s="22" t="n">
        <x:f aca="0">IF(NOT(ISNUMBER(E6)),"",MAX(E6,'범례'!$C$26))</x:f>
        <x:v>2.8</x:v>
      </x:c>
      <x:c r="G6" s="17" t="n">
        <x:v>35</x:v>
      </x:c>
      <x:c r="H6" s="17" t="n">
        <x:v>5</x:v>
      </x:c>
      <x:c r="I6" s="19" t="n">
        <x:f aca="0">IF(OR(NOT(ISNUMBER(G6)),NOT(ISNUMBER(H6))),"",G6*MAX(1,H6))</x:f>
        <x:v>175</x:v>
      </x:c>
      <x:c r="J6" s="41" t="n">
        <x:f aca="0">IF(OR(NOT(ISNUMBER(G6)),NOT(ISNUMBER(H6))),"",IF(G6&lt;=0,0,((1-'직업'!$D$5)*MAX(1,INT(G6*'범례'!$C$20/('범례'!$C$21+'범례'!$C$20)+0.5))+'직업'!$D$5*MAX(1,INT(G6*'범례'!$C$20/('범례'!$C$21+'범례'!$C$20)*'범례'!$C$19+0.5)))*MAX(1,H6)))</x:f>
        <x:v>188.5</x:v>
      </x:c>
      <x:c r="K6" s="41" t="n">
        <x:f aca="0">IF(NOT(ISNUMBER(J6)),"",J6*IF(ISNUMBER(SEARCH("광역",$C6)),'범례'!$C$30,1))</x:f>
        <x:v>188.5</x:v>
      </x:c>
      <x:c r="L6" s="22" t="n">
        <x:f aca="0">IF(OR(NOT(ISNUMBER(J6)),NOT(ISNUMBER(D6)),D6=0),"",J6/D6)</x:f>
        <x:v>37.7</x:v>
      </x:c>
      <x:c r="M6" s="22" t="n">
        <x:f aca="0">IF(OR(NOT(ISNUMBER(K6)),NOT(ISNUMBER(D6)),D6=0),"",K6/D6)</x:f>
        <x:v>37.7</x:v>
      </x:c>
      <x:c r="N6" s="22" t="n">
        <x:f aca="0">IF(OR(NOT(ISNUMBER(K6)),NOT(ISNUMBER(F6)),F6=0),"",K6/F6)</x:f>
        <x:v>67.32142857142857</x:v>
      </x:c>
      <x:c r="O6" s="17" t="n">
        <x:v>0</x:v>
      </x:c>
      <x:c r="P6" s="17" t="n">
        <x:v>0</x:v>
      </x:c>
      <x:c r="Q6" s="24" t="str">
        <x:v>시작 덱. 채널링 0.5초마다, 사망 후딜 0.3초</x:v>
      </x:c>
      <x:c r="R6" s="22" t="n">
        <x:f aca="0">IF(AND(LEFT($C6,1)="딜",ISNUMBER(M6)),M6,"")</x:f>
        <x:v>37.7</x:v>
      </x:c>
      <x:c r="S6" s="22" t="n">
        <x:f aca="0">IF(AND(LEFT($C6,1)="딜",ISNUMBER(N6)),N6,"")</x:f>
        <x:v>67.32142857142857</x:v>
      </x:c>
    </x:row>
    <x:row r="7" ht="15" hidden="0">
      <x:c r="A7" s="11" t="str">
        <x:v>SK03</x:v>
      </x:c>
      <x:c r="B7" s="17" t="str">
        <x:v>매직 커터</x:v>
      </x:c>
      <x:c r="C7" s="17" t="str">
        <x:v>딜/단일</x:v>
      </x:c>
      <x:c r="D7" s="17" t="n">
        <x:v>2</x:v>
      </x:c>
      <x:c r="E7" s="17" t="n">
        <x:v>0</x:v>
      </x:c>
      <x:c r="F7" s="22" t="n">
        <x:f aca="0">IF(NOT(ISNUMBER(E7)),"",MAX(E7,'범례'!$C$26))</x:f>
        <x:v>0.4</x:v>
      </x:c>
      <x:c r="G7" s="17" t="n">
        <x:v>30</x:v>
      </x:c>
      <x:c r="H7" s="17" t="n">
        <x:v>2</x:v>
      </x:c>
      <x:c r="I7" s="19" t="n">
        <x:f aca="0">IF(OR(NOT(ISNUMBER(G7)),NOT(ISNUMBER(H7))),"",G7*MAX(1,H7))</x:f>
        <x:v>60</x:v>
      </x:c>
      <x:c r="J7" s="41" t="n">
        <x:f aca="0">IF(OR(NOT(ISNUMBER(G7)),NOT(ISNUMBER(H7))),"",IF(G7&lt;=0,0,((1-'직업'!$D$5)*MAX(1,INT(G7*'범례'!$C$20/('범례'!$C$21+'범례'!$C$20)+0.5))+'직업'!$D$5*MAX(1,INT(G7*'범례'!$C$20/('범례'!$C$21+'범례'!$C$20)*'범례'!$C$19+0.5)))*MAX(1,H7)))</x:f>
        <x:v>64.5</x:v>
      </x:c>
      <x:c r="K7" s="41" t="n">
        <x:f aca="0">IF(NOT(ISNUMBER(J7)),"",J7*IF(ISNUMBER(SEARCH("광역",$C7)),'범례'!$C$30,1))</x:f>
        <x:v>64.5</x:v>
      </x:c>
      <x:c r="L7" s="22" t="n">
        <x:f aca="0">IF(OR(NOT(ISNUMBER(J7)),NOT(ISNUMBER(D7)),D7=0),"",J7/D7)</x:f>
        <x:v>32.25</x:v>
      </x:c>
      <x:c r="M7" s="22" t="n">
        <x:f aca="0">IF(OR(NOT(ISNUMBER(K7)),NOT(ISNUMBER(D7)),D7=0),"",K7/D7)</x:f>
        <x:v>32.25</x:v>
      </x:c>
      <x:c r="N7" s="22" t="n">
        <x:f aca="0">IF(OR(NOT(ISNUMBER(K7)),NOT(ISNUMBER(F7)),F7=0),"",K7/F7)</x:f>
        <x:v>161.25</x:v>
      </x:c>
      <x:c r="O7" s="17" t="n">
        <x:v>0</x:v>
      </x:c>
      <x:c r="P7" s="17" t="n">
        <x:v>0</x:v>
      </x:c>
      <x:c r="Q7" s="24" t="str">
        <x:v>시작 덱. 일반 시전</x:v>
      </x:c>
      <x:c r="R7" s="22" t="n">
        <x:f aca="0">IF(AND(LEFT($C7,1)="딜",ISNUMBER(M7)),M7,"")</x:f>
        <x:v>32.25</x:v>
      </x:c>
      <x:c r="S7" s="22" t="n">
        <x:f aca="0">IF(AND(LEFT($C7,1)="딜",ISNUMBER(N7)),N7,"")</x:f>
        <x:v>161.25</x:v>
      </x:c>
    </x:row>
    <x:row r="8" ht="15" hidden="0">
      <x:c r="A8" s="11" t="str">
        <x:v>SK04</x:v>
      </x:c>
      <x:c r="B8" s="17" t="str">
        <x:v>파이어 필라</x:v>
      </x:c>
      <x:c r="C8" s="17" t="str">
        <x:v>딜/광역</x:v>
      </x:c>
      <x:c r="D8" s="17" t="n">
        <x:v>4</x:v>
      </x:c>
      <x:c r="E8" s="17" t="n">
        <x:v>1</x:v>
      </x:c>
      <x:c r="F8" s="22" t="n">
        <x:f aca="0">IF(NOT(ISNUMBER(E8)),"",MAX(E8,'범례'!$C$26))</x:f>
        <x:v>1</x:v>
      </x:c>
      <x:c r="G8" s="17" t="n">
        <x:v>50</x:v>
      </x:c>
      <x:c r="H8" s="17" t="n">
        <x:v>1</x:v>
      </x:c>
      <x:c r="I8" s="19" t="n">
        <x:f aca="0">IF(OR(NOT(ISNUMBER(G8)),NOT(ISNUMBER(H8))),"",G8*MAX(1,H8))</x:f>
        <x:v>50</x:v>
      </x:c>
      <x:c r="J8" s="41" t="n">
        <x:f aca="0">IF(OR(NOT(ISNUMBER(G8)),NOT(ISNUMBER(H8))),"",IF(G8&lt;=0,0,((1-'직업'!$D$5)*MAX(1,INT(G8*'범례'!$C$20/('범례'!$C$21+'범례'!$C$20)+0.5))+'직업'!$D$5*MAX(1,INT(G8*'범례'!$C$20/('범례'!$C$21+'범례'!$C$20)*'범례'!$C$19+0.5)))*MAX(1,H8)))</x:f>
        <x:v>53.75</x:v>
      </x:c>
      <x:c r="K8" s="41" t="n">
        <x:f aca="0">IF(NOT(ISNUMBER(J8)),"",J8*IF(ISNUMBER(SEARCH("광역",$C8)),'범례'!$C$30,1))</x:f>
        <x:v>120.9375</x:v>
      </x:c>
      <x:c r="L8" s="22" t="n">
        <x:f aca="0">IF(OR(NOT(ISNUMBER(J8)),NOT(ISNUMBER(D8)),D8=0),"",J8/D8)</x:f>
        <x:v>13.4375</x:v>
      </x:c>
      <x:c r="M8" s="22" t="n">
        <x:f aca="0">IF(OR(NOT(ISNUMBER(K8)),NOT(ISNUMBER(D8)),D8=0),"",K8/D8)</x:f>
        <x:v>30.234375</x:v>
      </x:c>
      <x:c r="N8" s="22" t="n">
        <x:f aca="0">IF(OR(NOT(ISNUMBER(K8)),NOT(ISNUMBER(F8)),F8=0),"",K8/F8)</x:f>
        <x:v>120.9375</x:v>
      </x:c>
      <x:c r="O8" s="17" t="n">
        <x:v>0</x:v>
      </x:c>
      <x:c r="P8" s="17" t="n">
        <x:v>0</x:v>
      </x:c>
      <x:c r="Q8" s="24" t="str">
        <x:v>시작 덱. 일반 시전</x:v>
      </x:c>
      <x:c r="R8" s="22" t="n">
        <x:f aca="0">IF(AND(LEFT($C8,1)="딜",ISNUMBER(M8)),M8,"")</x:f>
        <x:v>30.234375</x:v>
      </x:c>
      <x:c r="S8" s="22" t="n">
        <x:f aca="0">IF(AND(LEFT($C8,1)="딜",ISNUMBER(N8)),N8,"")</x:f>
        <x:v>120.9375</x:v>
      </x:c>
    </x:row>
    <x:row r="9" ht="15" hidden="0">
      <x:c r="A9" s="11" t="str">
        <x:v>SK05</x:v>
      </x:c>
      <x:c r="B9" s="17" t="str">
        <x:v>라이트닝 스피어</x:v>
      </x:c>
      <x:c r="C9" s="17" t="str">
        <x:v>딜/단일</x:v>
      </x:c>
      <x:c r="D9" s="17" t="n">
        <x:v>4</x:v>
      </x:c>
      <x:c r="E9" s="17" t="n">
        <x:v>0.8</x:v>
      </x:c>
      <x:c r="F9" s="22" t="n">
        <x:f aca="0">IF(NOT(ISNUMBER(E9)),"",MAX(E9,'범례'!$C$26))</x:f>
        <x:v>0.8</x:v>
      </x:c>
      <x:c r="G9" s="17" t="n">
        <x:v>135</x:v>
      </x:c>
      <x:c r="H9" s="17" t="n">
        <x:v>1</x:v>
      </x:c>
      <x:c r="I9" s="19" t="n">
        <x:f aca="0">IF(OR(NOT(ISNUMBER(G9)),NOT(ISNUMBER(H9))),"",G9*MAX(1,H9))</x:f>
        <x:v>135</x:v>
      </x:c>
      <x:c r="J9" s="41" t="n">
        <x:f aca="0">IF(OR(NOT(ISNUMBER(G9)),NOT(ISNUMBER(H9))),"",IF(G9&lt;=0,0,((1-'직업'!$D$5)*MAX(1,INT(G9*'범례'!$C$20/('범례'!$C$21+'범례'!$C$20)+0.5))+'직업'!$D$5*MAX(1,INT(G9*'범례'!$C$20/('범례'!$C$21+'범례'!$C$20)*'범례'!$C$19+0.5)))*MAX(1,H9)))</x:f>
        <x:v>145.2</x:v>
      </x:c>
      <x:c r="K9" s="41" t="n">
        <x:f aca="0">IF(NOT(ISNUMBER(J9)),"",J9*IF(ISNUMBER(SEARCH("광역",$C9)),'범례'!$C$30,1))</x:f>
        <x:v>145.2</x:v>
      </x:c>
      <x:c r="L9" s="22" t="n">
        <x:f aca="0">IF(OR(NOT(ISNUMBER(J9)),NOT(ISNUMBER(D9)),D9=0),"",J9/D9)</x:f>
        <x:v>36.3</x:v>
      </x:c>
      <x:c r="M9" s="22" t="n">
        <x:f aca="0">IF(OR(NOT(ISNUMBER(K9)),NOT(ISNUMBER(D9)),D9=0),"",K9/D9)</x:f>
        <x:v>36.3</x:v>
      </x:c>
      <x:c r="N9" s="22" t="n">
        <x:f aca="0">IF(OR(NOT(ISNUMBER(K9)),NOT(ISNUMBER(F9)),F9=0),"",K9/F9)</x:f>
        <x:v>181.49999999999997</x:v>
      </x:c>
      <x:c r="O9" s="17" t="n">
        <x:v>0</x:v>
      </x:c>
      <x:c r="P9" s="17" t="n">
        <x:v>0</x:v>
      </x:c>
      <x:c r="Q9" s="24" t="str">
        <x:v>시작 덱. 일반 시전</x:v>
      </x:c>
      <x:c r="R9" s="22" t="n">
        <x:f aca="0">IF(AND(LEFT($C9,1)="딜",ISNUMBER(M9)),M9,"")</x:f>
        <x:v>36.3</x:v>
      </x:c>
      <x:c r="S9" s="22" t="n">
        <x:f aca="0">IF(AND(LEFT($C9,1)="딜",ISNUMBER(N9)),N9,"")</x:f>
        <x:v>181.49999999999997</x:v>
      </x:c>
    </x:row>
    <x:row r="10" ht="15" hidden="0">
      <x:c r="A10" s="11" t="str">
        <x:v>SK06</x:v>
      </x:c>
      <x:c r="B10" s="17" t="str">
        <x:v>매직 스파크</x:v>
      </x:c>
      <x:c r="C10" s="17" t="str">
        <x:v>딜/광역</x:v>
      </x:c>
      <x:c r="D10" s="17" t="n">
        <x:v>3</x:v>
      </x:c>
      <x:c r="E10" s="17" t="n">
        <x:v>2.2</x:v>
      </x:c>
      <x:c r="F10" s="22" t="n">
        <x:f aca="0">IF(NOT(ISNUMBER(E10)),"",MAX(E10,'범례'!$C$26))</x:f>
        <x:v>2.2</x:v>
      </x:c>
      <x:c r="G10" s="17" t="n">
        <x:v>5</x:v>
      </x:c>
      <x:c r="H10" s="17" t="n">
        <x:v>8</x:v>
      </x:c>
      <x:c r="I10" s="19" t="n">
        <x:f aca="0">IF(OR(NOT(ISNUMBER(G10)),NOT(ISNUMBER(H10))),"",G10*MAX(1,H10))</x:f>
        <x:v>40</x:v>
      </x:c>
      <x:c r="J10" s="41" t="n">
        <x:f aca="0">IF(OR(NOT(ISNUMBER(G10)),NOT(ISNUMBER(H10))),"",IF(G10&lt;=0,0,((1-'직업'!$D$5)*MAX(1,INT(G10*'범례'!$C$20/('범례'!$C$21+'범례'!$C$20)+0.5))+'직업'!$D$5*MAX(1,INT(G10*'범례'!$C$20/('범례'!$C$21+'범례'!$C$20)*'범례'!$C$19+0.5)))*MAX(1,H10)))</x:f>
        <x:v>43.6</x:v>
      </x:c>
      <x:c r="K10" s="41" t="n">
        <x:f aca="0">IF(NOT(ISNUMBER(J10)),"",J10*IF(ISNUMBER(SEARCH("광역",$C10)),'범례'!$C$30,1))</x:f>
        <x:v>98.10000000000001</x:v>
      </x:c>
      <x:c r="L10" s="22" t="n">
        <x:f aca="0">IF(OR(NOT(ISNUMBER(J10)),NOT(ISNUMBER(D10)),D10=0),"",J10/D10)</x:f>
        <x:v>14.533333333333333</x:v>
      </x:c>
      <x:c r="M10" s="22" t="n">
        <x:f aca="0">IF(OR(NOT(ISNUMBER(K10)),NOT(ISNUMBER(D10)),D10=0),"",K10/D10)</x:f>
        <x:v>32.7</x:v>
      </x:c>
      <x:c r="N10" s="22" t="n">
        <x:f aca="0">IF(OR(NOT(ISNUMBER(K10)),NOT(ISNUMBER(F10)),F10=0),"",K10/F10)</x:f>
        <x:v>44.59090909090909</x:v>
      </x:c>
      <x:c r="O10" s="17" t="n">
        <x:v>0</x:v>
      </x:c>
      <x:c r="P10" s="17" t="n">
        <x:v>0</x:v>
      </x:c>
      <x:c r="Q10" s="24" t="str">
        <x:v>시작 덱. 채널링 0.25초마다</x:v>
      </x:c>
      <x:c r="R10" s="22" t="n">
        <x:f aca="0">IF(AND(LEFT($C10,1)="딜",ISNUMBER(M10)),M10,"")</x:f>
        <x:v>32.7</x:v>
      </x:c>
      <x:c r="S10" s="22" t="n">
        <x:f aca="0">IF(AND(LEFT($C10,1)="딜",ISNUMBER(N10)),N10,"")</x:f>
        <x:v>44.59090909090909</x:v>
      </x:c>
    </x:row>
    <x:row r="11" ht="15" hidden="0">
      <x:c r="A11" s="11" t="str">
        <x:v>SK07</x:v>
      </x:c>
      <x:c r="B11" s="17" t="str">
        <x:v>매직 임팩트</x:v>
      </x:c>
      <x:c r="C11" s="17" t="str">
        <x:v>딜/단일</x:v>
      </x:c>
      <x:c r="D11" s="17" t="n">
        <x:v>3</x:v>
      </x:c>
      <x:c r="E11" s="17" t="n">
        <x:v>0</x:v>
      </x:c>
      <x:c r="F11" s="22" t="n">
        <x:f aca="0">IF(NOT(ISNUMBER(E11)),"",MAX(E11,'범례'!$C$26))</x:f>
        <x:v>0.4</x:v>
      </x:c>
      <x:c r="G11" s="17" t="n">
        <x:v>40</x:v>
      </x:c>
      <x:c r="H11" s="17" t="n">
        <x:v>3</x:v>
      </x:c>
      <x:c r="I11" s="19" t="n">
        <x:f aca="0">IF(OR(NOT(ISNUMBER(G11)),NOT(ISNUMBER(H11))),"",G11*MAX(1,H11))</x:f>
        <x:v>120</x:v>
      </x:c>
      <x:c r="J11" s="41" t="n">
        <x:f aca="0">IF(OR(NOT(ISNUMBER(G11)),NOT(ISNUMBER(H11))),"",IF(G11&lt;=0,0,((1-'직업'!$D$5)*MAX(1,INT(G11*'범례'!$C$20/('범례'!$C$21+'범례'!$C$20)+0.5))+'직업'!$D$5*MAX(1,INT(G11*'범례'!$C$20/('범례'!$C$21+'범례'!$C$20)*'범례'!$C$19+0.5)))*MAX(1,H11)))</x:f>
        <x:v>129</x:v>
      </x:c>
      <x:c r="K11" s="41" t="n">
        <x:f aca="0">IF(NOT(ISNUMBER(J11)),"",J11*IF(ISNUMBER(SEARCH("광역",$C11)),'범례'!$C$30,1))</x:f>
        <x:v>129</x:v>
      </x:c>
      <x:c r="L11" s="22" t="n">
        <x:f aca="0">IF(OR(NOT(ISNUMBER(J11)),NOT(ISNUMBER(D11)),D11=0),"",J11/D11)</x:f>
        <x:v>43</x:v>
      </x:c>
      <x:c r="M11" s="22" t="n">
        <x:f aca="0">IF(OR(NOT(ISNUMBER(K11)),NOT(ISNUMBER(D11)),D11=0),"",K11/D11)</x:f>
        <x:v>43</x:v>
      </x:c>
      <x:c r="N11" s="22" t="n">
        <x:f aca="0">IF(OR(NOT(ISNUMBER(K11)),NOT(ISNUMBER(F11)),F11=0),"",K11/F11)</x:f>
        <x:v>322.5</x:v>
      </x:c>
      <x:c r="O11" s="17" t="n">
        <x:v>0</x:v>
      </x:c>
      <x:c r="P11" s="17" t="n">
        <x:v>0</x:v>
      </x:c>
      <x:c r="Q11" s="24" t="str">
        <x:v>보상. 일반 시전</x:v>
      </x:c>
      <x:c r="R11" s="22" t="n">
        <x:f aca="0">IF(AND(LEFT($C11,1)="딜",ISNUMBER(M11)),M11,"")</x:f>
        <x:v>43</x:v>
      </x:c>
      <x:c r="S11" s="22" t="n">
        <x:f aca="0">IF(AND(LEFT($C11,1)="딜",ISNUMBER(N11)),N11,"")</x:f>
        <x:v>322.5</x:v>
      </x:c>
    </x:row>
    <x:row r="12" ht="15" hidden="0">
      <x:c r="A12" s="11" t="str">
        <x:v>SK08</x:v>
      </x:c>
      <x:c r="B12" s="17" t="str">
        <x:v>저지먼트</x:v>
      </x:c>
      <x:c r="C12" s="17" t="str">
        <x:v>딜/단일</x:v>
      </x:c>
      <x:c r="D12" s="17"/>
      <x:c r="E12" s="17"/>
      <x:c r="F12" s="22" t="str">
        <x:f aca="0">IF(NOT(ISNUMBER(E12)),"",MAX(E12,'범례'!$C$26))</x:f>
      </x:c>
      <x:c r="G12" s="17"/>
      <x:c r="H12" s="17"/>
      <x:c r="I12" s="19" t="str">
        <x:f aca="0">IF(OR(NOT(ISNUMBER(G12)),NOT(ISNUMBER(H12))),"",G12*MAX(1,H12))</x:f>
      </x:c>
      <x:c r="J12" s="41" t="str">
        <x:f aca="0">IF(OR(NOT(ISNUMBER(G12)),NOT(ISNUMBER(H12))),"",IF(G12&lt;=0,0,((1-'직업'!$D$5)*MAX(1,INT(G12*'범례'!$C$20/('범례'!$C$21+'범례'!$C$20)+0.5))+'직업'!$D$5*MAX(1,INT(G12*'범례'!$C$20/('범례'!$C$21+'범례'!$C$20)*'범례'!$C$19+0.5)))*MAX(1,H12)))</x:f>
      </x:c>
      <x:c r="K12" s="41" t="str">
        <x:f aca="0">IF(NOT(ISNUMBER(J12)),"",J12*IF(ISNUMBER(SEARCH("광역",$C12)),'범례'!$C$30,1))</x:f>
      </x:c>
      <x:c r="L12" s="22" t="str">
        <x:f aca="0">IF(OR(NOT(ISNUMBER(J12)),NOT(ISNUMBER(D12)),D12=0),"",J12/D12)</x:f>
      </x:c>
      <x:c r="M12" s="22" t="str">
        <x:f aca="0">IF(OR(NOT(ISNUMBER(K12)),NOT(ISNUMBER(D12)),D12=0),"",K12/D12)</x:f>
      </x:c>
      <x:c r="N12" s="22" t="str">
        <x:f aca="0">IF(OR(NOT(ISNUMBER(K12)),NOT(ISNUMBER(F12)),F12=0),"",K12/F12)</x:f>
      </x:c>
      <x:c r="O12" s="17"/>
      <x:c r="P12" s="17"/>
      <x:c r="Q12" s="24" t="str">
        <x:v>미구현. 수치는 03 초안 참조</x:v>
      </x:c>
      <x:c r="R12" s="22" t="str">
        <x:f aca="0">IF(AND(LEFT($C12,1)="딜",ISNUMBER(M12)),M12,"")</x:f>
      </x:c>
      <x:c r="S12" s="22" t="str">
        <x:f aca="0">IF(AND(LEFT($C12,1)="딜",ISNUMBER(N12)),N12,"")</x:f>
      </x:c>
    </x:row>
    <x:row r="13" ht="15" hidden="0">
      <x:c r="A13" s="17" t="str">
        <x:v>SK09</x:v>
      </x:c>
      <x:c r="B13" s="17" t="str">
        <x:v>블리자드</x:v>
      </x:c>
      <x:c r="C13" s="17" t="str">
        <x:v>딜/광역</x:v>
      </x:c>
      <x:c r="D13" s="17"/>
      <x:c r="E13" s="17"/>
      <x:c r="F13" s="22" t="str">
        <x:f aca="0">IF(NOT(ISNUMBER(E13)),"",MAX(E13,'범례'!$C$26))</x:f>
      </x:c>
      <x:c r="G13" s="17"/>
      <x:c r="H13" s="17"/>
      <x:c r="I13" s="19" t="str">
        <x:f aca="0">IF(OR(NOT(ISNUMBER(G13)),NOT(ISNUMBER(H13))),"",G13*MAX(1,H13))</x:f>
      </x:c>
      <x:c r="J13" s="41" t="str">
        <x:f aca="0">IF(OR(NOT(ISNUMBER(G13)),NOT(ISNUMBER(H13))),"",IF(G13&lt;=0,0,((1-'직업'!$D$5)*MAX(1,INT(G13*'범례'!$C$20/('범례'!$C$21+'범례'!$C$20)+0.5))+'직업'!$D$5*MAX(1,INT(G13*'범례'!$C$20/('범례'!$C$21+'범례'!$C$20)*'범례'!$C$19+0.5)))*MAX(1,H13)))</x:f>
      </x:c>
      <x:c r="K13" s="41" t="str">
        <x:f aca="0">IF(NOT(ISNUMBER(J13)),"",J13*IF(ISNUMBER(SEARCH("광역",$C13)),'범례'!$C$30,1))</x:f>
      </x:c>
      <x:c r="L13" s="22" t="str">
        <x:f aca="0">IF(OR(NOT(ISNUMBER(J13)),NOT(ISNUMBER(D13)),D13=0),"",J13/D13)</x:f>
      </x:c>
      <x:c r="M13" s="22" t="str">
        <x:f aca="0">IF(OR(NOT(ISNUMBER(K13)),NOT(ISNUMBER(D13)),D13=0),"",K13/D13)</x:f>
      </x:c>
      <x:c r="N13" s="22" t="str">
        <x:f aca="0">IF(OR(NOT(ISNUMBER(K13)),NOT(ISNUMBER(F13)),F13=0),"",K13/F13)</x:f>
      </x:c>
      <x:c r="O13" s="17"/>
      <x:c r="P13" s="17"/>
      <x:c r="Q13" s="20" t="str">
        <x:v>미구현. 수치는 03 초안 참조</x:v>
      </x:c>
      <x:c r="R13" s="22" t="str">
        <x:f aca="0">IF(AND(LEFT($C13,1)="딜",ISNUMBER(M13)),M13,"")</x:f>
      </x:c>
      <x:c r="S13" s="22" t="str">
        <x:f aca="0">IF(AND(LEFT($C13,1)="딜",ISNUMBER(N13)),N13,"")</x:f>
      </x:c>
    </x:row>
    <x:row r="14" ht="15" hidden="0">
      <x:c r="A14" s="17" t="str">
        <x:v>SK10</x:v>
      </x:c>
      <x:c r="B14" s="17" t="str">
        <x:v>다크 이럽션</x:v>
      </x:c>
      <x:c r="C14" s="17" t="str">
        <x:v>딜/광역</x:v>
      </x:c>
      <x:c r="D14" s="17" t="n">
        <x:v>2</x:v>
      </x:c>
      <x:c r="E14" s="17" t="n">
        <x:v>0.5</x:v>
      </x:c>
      <x:c r="F14" s="22" t="n">
        <x:f aca="0">IF(NOT(ISNUMBER(E14)),"",MAX(E14,'범례'!$C$26))</x:f>
        <x:v>0.5</x:v>
      </x:c>
      <x:c r="G14" s="17" t="n">
        <x:v>40</x:v>
      </x:c>
      <x:c r="H14" s="17" t="n">
        <x:v>1</x:v>
      </x:c>
      <x:c r="I14" s="19" t="n">
        <x:f aca="0">IF(OR(NOT(ISNUMBER(G14)),NOT(ISNUMBER(H14))),"",G14*MAX(1,H14))</x:f>
        <x:v>40</x:v>
      </x:c>
      <x:c r="J14" s="41" t="n">
        <x:f aca="0">IF(OR(NOT(ISNUMBER(G14)),NOT(ISNUMBER(H14))),"",IF(G14&lt;=0,0,((1-'직업'!$D$5)*MAX(1,INT(G14*'범례'!$C$20/('범례'!$C$21+'범례'!$C$20)+0.5))+'직업'!$D$5*MAX(1,INT(G14*'범례'!$C$20/('범례'!$C$21+'범례'!$C$20)*'범례'!$C$19+0.5)))*MAX(1,H14)))</x:f>
        <x:v>43</x:v>
      </x:c>
      <x:c r="K14" s="41" t="n">
        <x:f aca="0">IF(NOT(ISNUMBER(J14)),"",J14*IF(ISNUMBER(SEARCH("광역",$C14)),'범례'!$C$30,1))</x:f>
        <x:v>96.75</x:v>
      </x:c>
      <x:c r="L14" s="22" t="n">
        <x:f aca="0">IF(OR(NOT(ISNUMBER(J14)),NOT(ISNUMBER(D14)),D14=0),"",J14/D14)</x:f>
        <x:v>21.5</x:v>
      </x:c>
      <x:c r="M14" s="22" t="n">
        <x:f aca="0">IF(OR(NOT(ISNUMBER(K14)),NOT(ISNUMBER(D14)),D14=0),"",K14/D14)</x:f>
        <x:v>48.375</x:v>
      </x:c>
      <x:c r="N14" s="22" t="n">
        <x:f aca="0">IF(OR(NOT(ISNUMBER(K14)),NOT(ISNUMBER(F14)),F14=0),"",K14/F14)</x:f>
        <x:v>193.5</x:v>
      </x:c>
      <x:c r="O14" s="17" t="n">
        <x:v>0</x:v>
      </x:c>
      <x:c r="P14" s="17" t="n">
        <x:v>0</x:v>
      </x:c>
      <x:c r="Q14" s="20" t="str">
        <x:v>보상. 일반 시전</x:v>
      </x:c>
      <x:c r="R14" s="22" t="n">
        <x:f aca="0">IF(AND(LEFT($C14,1)="딜",ISNUMBER(M14)),M14,"")</x:f>
        <x:v>48.375</x:v>
      </x:c>
      <x:c r="S14" s="22" t="n">
        <x:f aca="0">IF(AND(LEFT($C14,1)="딜",ISNUMBER(N14)),N14,"")</x:f>
        <x:v>193.5</x:v>
      </x:c>
    </x:row>
    <x:row r="15" ht="15" hidden="0">
      <x:c r="A15" s="17" t="str">
        <x:v>SK11</x:v>
      </x:c>
      <x:c r="B15" s="17" t="str">
        <x:v>침묵</x:v>
      </x:c>
      <x:c r="C15" s="17" t="str">
        <x:v>차단</x:v>
      </x:c>
      <x:c r="D15" s="17" t="n">
        <x:v>2</x:v>
      </x:c>
      <x:c r="E15" s="17" t="n">
        <x:v>0.2</x:v>
      </x:c>
      <x:c r="F15" s="22" t="n">
        <x:f aca="0">IF(NOT(ISNUMBER(E15)),"",MAX(E15,'범례'!$C$26))</x:f>
        <x:v>0.4</x:v>
      </x:c>
      <x:c r="G15" s="17" t="n">
        <x:v>0</x:v>
      </x:c>
      <x:c r="H15" s="17" t="n">
        <x:v>1</x:v>
      </x:c>
      <x:c r="I15" s="19" t="n">
        <x:f aca="0">IF(OR(NOT(ISNUMBER(G15)),NOT(ISNUMBER(H15))),"",G15*MAX(1,H15))</x:f>
        <x:v>0</x:v>
      </x:c>
      <x:c r="J15" s="41" t="n">
        <x:f aca="0">IF(OR(NOT(ISNUMBER(G15)),NOT(ISNUMBER(H15))),"",IF(G15&lt;=0,0,((1-'직업'!$D$5)*MAX(1,INT(G15*'범례'!$C$20/('범례'!$C$21+'범례'!$C$20)+0.5))+'직업'!$D$5*MAX(1,INT(G15*'범례'!$C$20/('범례'!$C$21+'범례'!$C$20)*'범례'!$C$19+0.5)))*MAX(1,H15)))</x:f>
        <x:v>0</x:v>
      </x:c>
      <x:c r="K15" s="41" t="n">
        <x:f aca="0">IF(NOT(ISNUMBER(J15)),"",J15*IF(ISNUMBER(SEARCH("광역",$C15)),'범례'!$C$30,1))</x:f>
        <x:v>0</x:v>
      </x:c>
      <x:c r="L15" s="22" t="n">
        <x:f aca="0">IF(OR(NOT(ISNUMBER(J15)),NOT(ISNUMBER(D15)),D15=0),"",J15/D15)</x:f>
        <x:v>0</x:v>
      </x:c>
      <x:c r="M15" s="22" t="n">
        <x:f aca="0">IF(OR(NOT(ISNUMBER(K15)),NOT(ISNUMBER(D15)),D15=0),"",K15/D15)</x:f>
        <x:v>0</x:v>
      </x:c>
      <x:c r="N15" s="22" t="n">
        <x:f aca="0">IF(OR(NOT(ISNUMBER(K15)),NOT(ISNUMBER(F15)),F15=0),"",K15/F15)</x:f>
        <x:v>0</x:v>
      </x:c>
      <x:c r="O15" s="17" t="n">
        <x:v>0</x:v>
      </x:c>
      <x:c r="P15" s="17" t="n">
        <x:v>2.5</x:v>
      </x:c>
      <x:c r="Q15" s="20" t="str">
        <x:v>시작 덱. 일반 시전, 캐스팅 중 대상만</x:v>
      </x:c>
      <x:c r="R15" s="22" t="str">
        <x:f aca="0">IF(AND(LEFT($C15,1)="딜",ISNUMBER(M15)),M15,"")</x:f>
      </x:c>
      <x:c r="S15" s="22" t="str">
        <x:f aca="0">IF(AND(LEFT($C15,1)="딜",ISNUMBER(N15)),N15,"")</x:f>
      </x:c>
    </x:row>
    <x:row r="16" ht="15" hidden="0">
      <x:c r="A16" s="17" t="str">
        <x:v>SK12</x:v>
      </x:c>
      <x:c r="B16" s="17" t="str">
        <x:v>제압</x:v>
      </x:c>
      <x:c r="C16" s="17" t="str">
        <x:v>차단</x:v>
      </x:c>
      <x:c r="D16" s="17" t="n">
        <x:v>2</x:v>
      </x:c>
      <x:c r="E16" s="17" t="n">
        <x:v>0.2</x:v>
      </x:c>
      <x:c r="F16" s="22" t="n">
        <x:f aca="0">IF(NOT(ISNUMBER(E16)),"",MAX(E16,'범례'!$C$26))</x:f>
        <x:v>0.4</x:v>
      </x:c>
      <x:c r="G16" s="17" t="n">
        <x:v>30</x:v>
      </x:c>
      <x:c r="H16" s="17" t="n">
        <x:v>1</x:v>
      </x:c>
      <x:c r="I16" s="19" t="n">
        <x:f aca="0">IF(OR(NOT(ISNUMBER(G16)),NOT(ISNUMBER(H16))),"",G16*MAX(1,H16))</x:f>
        <x:v>30</x:v>
      </x:c>
      <x:c r="J16" s="41" t="n">
        <x:f aca="0">IF(OR(NOT(ISNUMBER(G16)),NOT(ISNUMBER(H16))),"",IF(G16&lt;=0,0,((1-'직업'!$D$5)*MAX(1,INT(G16*'범례'!$C$20/('범례'!$C$21+'범례'!$C$20)+0.5))+'직업'!$D$5*MAX(1,INT(G16*'범례'!$C$20/('범례'!$C$21+'범례'!$C$20)*'범례'!$C$19+0.5)))*MAX(1,H16)))</x:f>
        <x:v>32.25</x:v>
      </x:c>
      <x:c r="K16" s="41" t="n">
        <x:f aca="0">IF(NOT(ISNUMBER(J16)),"",J16*IF(ISNUMBER(SEARCH("광역",$C16)),'범례'!$C$30,1))</x:f>
        <x:v>32.25</x:v>
      </x:c>
      <x:c r="L16" s="22" t="n">
        <x:f aca="0">IF(OR(NOT(ISNUMBER(J16)),NOT(ISNUMBER(D16)),D16=0),"",J16/D16)</x:f>
        <x:v>16.125</x:v>
      </x:c>
      <x:c r="M16" s="22" t="n">
        <x:f aca="0">IF(OR(NOT(ISNUMBER(K16)),NOT(ISNUMBER(D16)),D16=0),"",K16/D16)</x:f>
        <x:v>16.125</x:v>
      </x:c>
      <x:c r="N16" s="22" t="n">
        <x:f aca="0">IF(OR(NOT(ISNUMBER(K16)),NOT(ISNUMBER(F16)),F16=0),"",K16/F16)</x:f>
        <x:v>80.625</x:v>
      </x:c>
      <x:c r="O16" s="17" t="n">
        <x:v>0</x:v>
      </x:c>
      <x:c r="P16" s="17" t="n">
        <x:v>2.5</x:v>
      </x:c>
      <x:c r="Q16" s="20" t="str">
        <x:v>보상. 일반 시전, 피해+차단</x:v>
      </x:c>
      <x:c r="R16" s="22" t="str">
        <x:f aca="0">IF(AND(LEFT($C16,1)="딜",ISNUMBER(M16)),M16,"")</x:f>
      </x:c>
      <x:c r="S16" s="22" t="str">
        <x:f aca="0">IF(AND(LEFT($C16,1)="딜",ISNUMBER(N16)),N16,"")</x:f>
      </x:c>
    </x:row>
    <x:row r="17" ht="15" hidden="0">
      <x:c r="A17" s="17" t="str">
        <x:v>SK13</x:v>
      </x:c>
      <x:c r="B17" s="17" t="str">
        <x:v>매직아머</x:v>
      </x:c>
      <x:c r="C17" s="17" t="str">
        <x:v>방어</x:v>
      </x:c>
      <x:c r="D17" s="17" t="n">
        <x:v>3</x:v>
      </x:c>
      <x:c r="E17" s="17" t="n">
        <x:v>0.2</x:v>
      </x:c>
      <x:c r="F17" s="22" t="n">
        <x:f aca="0">IF(NOT(ISNUMBER(E17)),"",MAX(E17,'범례'!$C$26))</x:f>
        <x:v>0.4</x:v>
      </x:c>
      <x:c r="G17" s="17" t="n">
        <x:v>0</x:v>
      </x:c>
      <x:c r="H17" s="17" t="n">
        <x:v>1</x:v>
      </x:c>
      <x:c r="I17" s="19" t="n">
        <x:f aca="0">IF(OR(NOT(ISNUMBER(G17)),NOT(ISNUMBER(H17))),"",G17*MAX(1,H17))</x:f>
        <x:v>0</x:v>
      </x:c>
      <x:c r="J17" s="41" t="n">
        <x:f aca="0">IF(OR(NOT(ISNUMBER(G17)),NOT(ISNUMBER(H17))),"",IF(G17&lt;=0,0,((1-'직업'!$D$5)*MAX(1,INT(G17*'범례'!$C$20/('범례'!$C$21+'범례'!$C$20)+0.5))+'직업'!$D$5*MAX(1,INT(G17*'범례'!$C$20/('범례'!$C$21+'범례'!$C$20)*'범례'!$C$19+0.5)))*MAX(1,H17)))</x:f>
        <x:v>0</x:v>
      </x:c>
      <x:c r="K17" s="41" t="n">
        <x:f aca="0">IF(NOT(ISNUMBER(J17)),"",J17*IF(ISNUMBER(SEARCH("광역",$C17)),'범례'!$C$30,1))</x:f>
        <x:v>0</x:v>
      </x:c>
      <x:c r="L17" s="22" t="n">
        <x:f aca="0">IF(OR(NOT(ISNUMBER(J17)),NOT(ISNUMBER(D17)),D17=0),"",J17/D17)</x:f>
        <x:v>0</x:v>
      </x:c>
      <x:c r="M17" s="22" t="n">
        <x:f aca="0">IF(OR(NOT(ISNUMBER(K17)),NOT(ISNUMBER(D17)),D17=0),"",K17/D17)</x:f>
        <x:v>0</x:v>
      </x:c>
      <x:c r="N17" s="22" t="n">
        <x:f aca="0">IF(OR(NOT(ISNUMBER(K17)),NOT(ISNUMBER(F17)),F17=0),"",K17/F17)</x:f>
        <x:v>0</x:v>
      </x:c>
      <x:c r="O17" s="17" t="n">
        <x:v>120</x:v>
      </x:c>
      <x:c r="P17" s="17" t="n">
        <x:v>0</x:v>
      </x:c>
      <x:c r="Q17" s="20" t="str">
        <x:v>시작 덱. 일반 시전</x:v>
      </x:c>
      <x:c r="R17" s="22" t="str">
        <x:f aca="0">IF(AND(LEFT($C17,1)="딜",ISNUMBER(M17)),M17,"")</x:f>
      </x:c>
      <x:c r="S17" s="22" t="str">
        <x:f aca="0">IF(AND(LEFT($C17,1)="딜",ISNUMBER(N17)),N17,"")</x:f>
      </x:c>
    </x:row>
    <x:row r="18" ht="15" hidden="0">
      <x:c r="A18" s="17" t="str">
        <x:v>SK14</x:v>
      </x:c>
      <x:c r="B18" s="17" t="str">
        <x:v>생츄어리</x:v>
      </x:c>
      <x:c r="C18" s="17" t="str">
        <x:v>방어</x:v>
      </x:c>
      <x:c r="D18" s="17"/>
      <x:c r="E18" s="17"/>
      <x:c r="F18" s="22" t="str">
        <x:f aca="0">IF(NOT(ISNUMBER(E18)),"",MAX(E18,'범례'!$C$26))</x:f>
      </x:c>
      <x:c r="G18" s="17"/>
      <x:c r="H18" s="17"/>
      <x:c r="I18" s="19" t="str">
        <x:f aca="0">IF(OR(NOT(ISNUMBER(G18)),NOT(ISNUMBER(H18))),"",G18*MAX(1,H18))</x:f>
      </x:c>
      <x:c r="J18" s="41" t="str">
        <x:f aca="0">IF(OR(NOT(ISNUMBER(G18)),NOT(ISNUMBER(H18))),"",IF(G18&lt;=0,0,((1-'직업'!$D$5)*MAX(1,INT(G18*'범례'!$C$20/('범례'!$C$21+'범례'!$C$20)+0.5))+'직업'!$D$5*MAX(1,INT(G18*'범례'!$C$20/('범례'!$C$21+'범례'!$C$20)*'범례'!$C$19+0.5)))*MAX(1,H18)))</x:f>
      </x:c>
      <x:c r="K18" s="41" t="str">
        <x:f aca="0">IF(NOT(ISNUMBER(J18)),"",J18*IF(ISNUMBER(SEARCH("광역",$C18)),'범례'!$C$30,1))</x:f>
      </x:c>
      <x:c r="L18" s="22" t="str">
        <x:f aca="0">IF(OR(NOT(ISNUMBER(J18)),NOT(ISNUMBER(D18)),D18=0),"",J18/D18)</x:f>
      </x:c>
      <x:c r="M18" s="22" t="str">
        <x:f aca="0">IF(OR(NOT(ISNUMBER(K18)),NOT(ISNUMBER(D18)),D18=0),"",K18/D18)</x:f>
      </x:c>
      <x:c r="N18" s="22" t="str">
        <x:f aca="0">IF(OR(NOT(ISNUMBER(K18)),NOT(ISNUMBER(F18)),F18=0),"",K18/F18)</x:f>
      </x:c>
      <x:c r="O18" s="17"/>
      <x:c r="P18" s="17"/>
      <x:c r="Q18" s="20" t="str">
        <x:v>미구현. 수치는 03 초안 참조</x:v>
      </x:c>
      <x:c r="R18" s="22" t="str">
        <x:f aca="0">IF(AND(LEFT($C18,1)="딜",ISNUMBER(M18)),M18,"")</x:f>
      </x:c>
      <x:c r="S18" s="22" t="str">
        <x:f aca="0">IF(AND(LEFT($C18,1)="딜",ISNUMBER(N18)),N18,"")</x:f>
      </x:c>
    </x:row>
    <x:row r="22" ht="15" hidden="0">
      <x:c r="A22" s="3" t="str">
        <x:v>구현 딜 카드 비교 (잡몹전 평균 적 수 기준)</x:v>
      </x:c>
    </x:row>
    <x:row r="23" ht="29.850000381469727" hidden="0">
      <x:c r="A23" s="10" t="s">
        <x:v>70</x:v>
      </x:c>
      <x:c r="B23" s="22" t="n">
        <x:f aca="0">IFERROR(MAX(R5:R18),"")</x:f>
        <x:v>48.375</x:v>
      </x:c>
      <x:c r="C23" s="25" t="s">
        <x:v>71</x:v>
      </x:c>
    </x:row>
    <x:row r="24" ht="29.850000381469727" hidden="0">
      <x:c r="A24" s="10" t="s">
        <x:v>72</x:v>
      </x:c>
      <x:c r="B24" s="22" t="n">
        <x:f aca="0">IFERROR(MIN(R5:R18),"")</x:f>
        <x:v>30.234375</x:v>
      </x:c>
      <x:c r="C24" s="25"/>
    </x:row>
    <x:row r="25" ht="29.850000381469727" hidden="0">
      <x:c r="A25" s="10" t="s">
        <x:v>73</x:v>
      </x:c>
      <x:c r="B25" s="19" t="n">
        <x:f aca="0">IFERROR(B23/B24,"")</x:f>
        <x:v>1.6</x:v>
      </x:c>
      <x:c r="C25" s="25" t="s">
        <x:v>74</x:v>
      </x:c>
    </x:row>
    <x:row r="26" ht="29.850000381469727" hidden="0">
      <x:c r="A26" s="10" t="s">
        <x:v>75</x:v>
      </x:c>
      <x:c r="B26" s="22" t="n">
        <x:f aca="0">IFERROR(MAX(S5:S18),"")</x:f>
        <x:v>322.5</x:v>
      </x:c>
      <x:c r="C26" s="25" t="s">
        <x:v>76</x:v>
      </x:c>
    </x:row>
    <x:row r="27" ht="29.850000381469727" hidden="0">
      <x:c r="A27" s="10" t="s">
        <x:v>77</x:v>
      </x:c>
      <x:c r="B27" s="22" t="n">
        <x:f aca="0">IFERROR(MIN(S5:S18),"")</x:f>
        <x:v>44.59090909090909</x:v>
      </x:c>
      <x:c r="C27" s="25"/>
    </x:row>
    <x:row r="28" ht="29.850000381469727" hidden="0">
      <x:c r="A28" s="10" t="s">
        <x:v>78</x:v>
      </x:c>
      <x:c r="B28" s="19" t="n">
        <x:f aca="0">IFERROR(B26/B27,"")</x:f>
        <x:v>7.232415902140672</x:v>
      </x:c>
      <x:c r="C28" s="25" t="s">
        <x:v>74</x:v>
      </x:c>
    </x:row>
    <x:row r="29" ht="29.850000381469727" hidden="0">
      <x:c r="A29" s="10" t="s">
        <x:v>79</x:v>
      </x:c>
      <x:c r="B29" s="23" t="n">
        <x:f aca="0">COUNTIF(C5:C18,"딜/단일")</x:f>
        <x:v>6</x:v>
      </x:c>
      <x:c r="C29" s="25" t="inlineStr">
        <x:is>
          <x:t xml:space="preserve">목표 6</x:t>
        </x:is>
      </x:c>
    </x:row>
    <x:row r="30" ht="29.850000381469727" hidden="0">
      <x:c r="A30" s="10" t="s">
        <x:v>80</x:v>
      </x:c>
      <x:c r="B30" s="23" t="n">
        <x:f aca="0">COUNTIF(C5:C18,"딜/광역")</x:f>
        <x:v>4</x:v>
      </x:c>
      <x:c r="C30" s="25" t="s">
        <x:v>81</x:v>
      </x:c>
    </x:row>
    <x:row r="31" ht="29.850000381469727" hidden="0">
      <x:c r="A31" s="10" t="s">
        <x:v>82</x:v>
      </x:c>
      <x:c r="B31" s="23" t="n">
        <x:f aca="0">COUNTIF(C5:C18,"차단")</x:f>
        <x:v>2</x:v>
      </x:c>
      <x:c r="C31" s="25" t="inlineStr">
        <x:is>
          <x:t xml:space="preserve">목표 2</x:t>
        </x:is>
      </x:c>
    </x:row>
    <x:row r="32" ht="29.850000381469727" hidden="0">
      <x:c r="A32" s="10" t="s">
        <x:v>83</x:v>
      </x:c>
      <x:c r="B32" s="23" t="n">
        <x:f aca="0">COUNTIF(C5:C18,"방어")</x:f>
        <x:v>2</x:v>
      </x:c>
      <x:c r="C32" s="25" t="inlineStr">
        <x:is>
          <x:t xml:space="preserve">목표 2</x:t>
        </x:is>
      </x:c>
    </x:row>
    <x:row r="34" ht="15" hidden="0">
      <x:c r="A34" s="14" t="str">
        <x:v>비율은 참고 지표. 시전 취소·대상 수·실제 사용 장면과 함께 판단.</x:v>
      </x:c>
    </x:row>
    <x:row r="35" ht="15" hidden="0">
      <x:c r="A35" s="14" t="str">
        <x:v>제압은 피해+차단의 승인 예외. 10 A23 참조.</x:v>
      </x:c>
    </x:row>
    <x:row r="37" ht="15" hidden="0">
      <x:c r="A37" s="3" t="s">
        <x:v>84</x:v>
      </x:c>
    </x:row>
    <x:row r="38" ht="128.35000610351562" hidden="0">
      <x:c r="A38" s="25" t="str">
        <x:v>단일/광역 기본 방향은 10 T11. 현재 카드별 예외는 A20·A23.</x:v>
      </x:c>
    </x:row>
    <x:row r="39" ht="166.39999389648438" hidden="0">
      <x:c r="A39" s="26" t="s">
        <x:v>85</x:v>
      </x:c>
    </x:row>
    <x:row r="40" ht="153.6999969482422" hidden="0">
      <x:c r="A40" s="25" t="s">
        <x:v>86</x:v>
      </x:c>
    </x:row>
    <x:row r="41" ht="164.14999389648438" hidden="0">
      <x:c r="A41" s="25" t="str">
        <x:v>광역 시전 시간은 현재 카드별 값을 따름. 채널링은 중단 시 남은 피해 미발생.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87</x:v>
      </x:c>
    </x:row>
    <x:row r="2" ht="15" hidden="0">
      <x:c r="A2" s="21" t="s">
        <x:v>88</x:v>
      </x:c>
    </x:row>
    <x:row r="4" ht="31.5" hidden="0" customHeight="1">
      <x:c r="A4" s="8" t="s">
        <x:v>89</x:v>
      </x:c>
      <x:c r="B4" s="8" t="s">
        <x:v>55</x:v>
      </x:c>
      <x:c r="C4" s="8" t="s">
        <x:v>56</x:v>
      </x:c>
      <x:c r="D4" s="8" t="s">
        <x:v>57</x:v>
      </x:c>
      <x:c r="E4" s="8" t="s">
        <x:v>58</x:v>
      </x:c>
      <x:c r="F4" s="8" t="str">
        <x:v>기대 피해(1체)</x:v>
      </x:c>
      <x:c r="G4" s="8" t="s">
        <x:v>90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91</x:v>
      </x:c>
      <x:c r="L4" s="8" t="s">
        <x:v>92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53.75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43.6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93</x:v>
      </x:c>
    </x:row>
    <x:row r="16" ht="30" hidden="0" customHeight="1">
      <x:c r="A16" s="10" t="s">
        <x:v>94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95</x:v>
      </x:c>
      <x:c r="B18" s="22" t="n">
        <x:f aca="0">SUM(E5:E12)</x:f>
        <x:v>8.4</x:v>
      </x:c>
      <x:c r="D18" s="40" t="s">
        <x:v>96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527.8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17.59333333333333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97</x:v>
      </x:c>
      <x:c r="B21" s="19" t="n">
        <x:f aca="0">IFERROR('범례'!$C$27/B17,"")</x:f>
        <x:v>1.5</x:v>
      </x:c>
      <x:c r="D21" s="38" t="s">
        <x:v>98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99</x:v>
      </x:c>
      <x:c r="B22" s="23" t="n">
        <x:f aca="0">COUNTIF(C5:C12,"차단")+COUNTIF(C5:C12,"방어")</x:f>
        <x:v>2</x:v>
      </x:c>
      <x:c r="D22" s="38" t="s">
        <x:v>100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101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102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103</x:v>
      </x:c>
    </x:row>
    <x:row r="2" ht="15" hidden="0">
      <x:c r="A2" s="21" t="s">
        <x:v>104</x:v>
      </x:c>
    </x:row>
    <x:row r="4" ht="15" hidden="0" customHeight="1">
      <x:c r="A4" s="8" t="s">
        <x:v>46</x:v>
      </x:c>
      <x:c r="B4" s="8" t="s">
        <x:v>105</x:v>
      </x:c>
      <x:c r="C4" s="16" t="s">
        <x:v>47</x:v>
      </x:c>
      <x:c r="D4" s="8" t="s">
        <x:v>106</x:v>
      </x:c>
      <x:c r="E4" s="8" t="s">
        <x:v>48</x:v>
      </x:c>
      <x:c r="F4" s="8" t="s">
        <x:v>107</x:v>
      </x:c>
      <x:c r="G4" s="8" t="s">
        <x:v>108</x:v>
      </x:c>
      <x:c r="H4" s="8" t="s">
        <x:v>109</x:v>
      </x:c>
      <x:c r="I4" s="37" t="str">
        <x:v>회복량 기준 참고 시간</x:v>
      </x:c>
      <x:c r="J4" s="8" t="s">
        <x:v>110</x:v>
      </x:c>
    </x:row>
    <x:row r="5" ht="15" hidden="0">
      <x:c r="A5" s="17" t="s">
        <x:v>111</x:v>
      </x:c>
      <x:c r="B5" s="17" t="s">
        <x:v>112</x:v>
      </x:c>
      <x:c r="C5" s="17" t="n">
        <x:v>450</x:v>
      </x:c>
      <x:c r="D5" s="17" t="n">
        <x:v>30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25.57787040545662</x:v>
      </x:c>
      <x:c r="J5" s="20" t="str">
        <x:v>일반 공격. 필요하면 차단 가능</x:v>
      </x:c>
    </x:row>
    <x:row r="6" ht="15" hidden="0">
      <x:c r="A6" s="17" t="s">
        <x:v>113</x:v>
      </x:c>
      <x:c r="B6" s="17" t="s">
        <x:v>114</x:v>
      </x:c>
      <x:c r="C6" s="17" t="n">
        <x:v>450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115</x:v>
      </x:c>
      <x:c r="I6" s="22" t="n">
        <x:f aca="0">IFERROR(C6/'덱시뮬'!$B$20,"")</x:f>
        <x:v>25.57787040545662</x:v>
      </x:c>
      <x:c r="J6" s="20" t="s">
        <x:v>116</x:v>
      </x:c>
    </x:row>
    <x:row r="7" ht="15" hidden="0">
      <x:c r="A7" s="17" t="s">
        <x:v>117</x:v>
      </x:c>
      <x:c r="B7" s="17" t="s">
        <x:v>118</x:v>
      </x:c>
      <x:c r="C7" s="17" t="n">
        <x:v>500</x:v>
      </x:c>
      <x:c r="D7" s="17" t="n">
        <x:v>150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119</x:v>
      </x:c>
      <x:c r="I7" s="22" t="n">
        <x:f aca="0">IFERROR(C7/'덱시뮬'!$B$20,"")</x:f>
        <x:v>28.419856006062908</x:v>
      </x:c>
      <x:c r="J7" s="20" t="s">
        <x:v>120</x:v>
      </x:c>
    </x:row>
    <x:row r="8" ht="15" hidden="0">
      <x:c r="A8" s="17"/>
      <x:c r="B8" s="17"/>
      <x:c r="C8" s="17"/>
      <x:c r="D8" s="17"/>
      <x:c r="E8" s="17"/>
      <x:c r="F8" s="13" t="str">
        <x:f aca="0">IF(NOT(ISNUMBER(E8)),"",E8/(E8+'범례'!$C$20))</x:f>
      </x:c>
      <x:c r="G8" s="17"/>
      <x:c r="H8" s="17"/>
      <x:c r="I8" s="22" t="str">
        <x:f aca="0">IF(NOT(ISNUMBER(C8)),"",C8/'덱시뮬'!$B$20)</x:f>
      </x:c>
      <x:c r="J8" s="20"/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A·B 450, C 500은 임시 HP. 원복은 각 300. 10 적 HP 시험 참조.</x:v>
      </x:c>
    </x:row>
    <x:row r="14" ht="15" hidden="0">
      <x:c r="A14" s="2" t="str">
        <x:v>B·C도 초록 보유. 표는 주 공격만 기입. 초록도 차단 가능,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121</x:v>
      </x:c>
    </x:row>
    <x:row r="2" ht="15" hidden="0">
      <x:c r="A2" s="21" t="str">
        <x:v>정식 5전투 계획용. 현재 시연 3전투와 구분. 피해 입력 전 합계·여유는 미확인.</x:v>
      </x:c>
    </x:row>
    <x:row r="4" ht="31.5" hidden="0" customHeight="1">
      <x:c r="A4" s="8" t="s">
        <x:v>122</x:v>
      </x:c>
      <x:c r="B4" s="8" t="s">
        <x:v>123</x:v>
      </x:c>
      <x:c r="C4" s="8" t="s">
        <x:v>124</x:v>
      </x:c>
      <x:c r="D4" s="8" t="s">
        <x:v>125</x:v>
      </x:c>
      <x:c r="E4" s="8" t="s">
        <x:v>126</x:v>
      </x:c>
      <x:c r="F4" s="8" t="s">
        <x:v>127</x:v>
      </x:c>
      <x:c r="G4" s="8" t="s">
        <x:v>128</x:v>
      </x:c>
      <x:c r="H4" s="8" t="s">
        <x:v>129</x:v>
      </x:c>
    </x:row>
    <x:row r="5" ht="15" hidden="0">
      <x:c r="A5" s="27" t="n">
        <x:v>1</x:v>
      </x:c>
      <x:c r="B5" s="20"/>
      <x:c r="C5" s="17"/>
      <x:c r="D5" s="17"/>
      <x:c r="E5" s="23" t="str">
        <x:f aca="0">IF(NOT(ISNUMBER(C5)),"",IF(A5=1,'직업'!$B$5-C5,E4-C5))</x:f>
      </x:c>
      <x:c r="F5" s="23" t="str">
        <x:f aca="0">IF(NOT(ISNUMBER(D5)),"",IF(A5=1,'직업'!$B$5-D5,F4-D5))</x:f>
      </x:c>
      <x:c r="G5" s="27" t="str">
        <x:f aca="0">IF(NOT(ISNUMBER(F5)),"",IF(F5&lt;=0,"사망",IF(F5&lt;100,"위험","안전")))</x:f>
      </x:c>
      <x:c r="H5" s="20"/>
    </x:row>
    <x:row r="6" ht="15" hidden="0">
      <x:c r="A6" s="27" t="n">
        <x:v>2</x:v>
      </x:c>
      <x:c r="B6" s="20"/>
      <x:c r="C6" s="17"/>
      <x:c r="D6" s="17"/>
      <x:c r="E6" s="23" t="str">
        <x:f aca="0">IF(NOT(ISNUMBER(C6)),"",IF(A6=1,'직업'!$B$5-C6,E5-C6))</x:f>
      </x:c>
      <x:c r="F6" s="23" t="str">
        <x:f aca="0">IF(NOT(ISNUMBER(D6)),"",IF(A6=1,'직업'!$B$5-D6,F5-D6))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3</x:v>
      </x:c>
      <x:c r="B7" s="20"/>
      <x:c r="C7" s="17"/>
      <x:c r="D7" s="17"/>
      <x:c r="E7" s="23" t="str">
        <x:f aca="0">IF(NOT(ISNUMBER(C7)),"",IF(A7=1,'직업'!$B$5-C7,E6-C7))</x:f>
      </x:c>
      <x:c r="F7" s="23" t="str">
        <x:f aca="0">IF(NOT(ISNUMBER(D7)),"",IF(A7=1,'직업'!$B$5-D7,F6-D7))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4</x:v>
      </x:c>
      <x:c r="B8" s="20"/>
      <x:c r="C8" s="17"/>
      <x:c r="D8" s="17"/>
      <x:c r="E8" s="23" t="str">
        <x:f aca="0">IF(NOT(ISNUMBER(C8)),"",IF(A8=1,'직업'!$B$5-C8,E7-C8))</x:f>
      </x:c>
      <x:c r="F8" s="23" t="str">
        <x:f aca="0">IF(NOT(ISNUMBER(D8)),"",IF(A8=1,'직업'!$B$5-D8,F7-D8))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5</x:v>
      </x:c>
      <x:c r="B9" s="20"/>
      <x:c r="C9" s="17"/>
      <x:c r="D9" s="17"/>
      <x:c r="E9" s="23" t="str">
        <x:f aca="0">IF(NOT(ISNUMBER(C9)),"",IF(A9=1,'직업'!$B$5-C9,E8-C9))</x:f>
      </x:c>
      <x:c r="F9" s="23" t="str">
        <x:f aca="0">IF(NOT(ISNUMBER(D9)),"",IF(A9=1,'직업'!$B$5-D9,F8-D9))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93</x:v>
      </x:c>
    </x:row>
    <x:row r="13" ht="30" hidden="0" customHeight="1">
      <x:c r="A13" s="10" t="s">
        <x:v>130</x:v>
      </x:c>
      <x:c r="B13" s="23" t="str">
        <x:f aca="0">IF(COUNT(C5:C9)&lt;5,"",SUM(C5:C9))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131</x:v>
      </x:c>
      <x:c r="B14" s="23" t="str">
        <x:f aca="0">IF(COUNT(D5:D9)&lt;5,"",SUM(D5:D9))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132</x:v>
      </x:c>
      <x:c r="B15" s="23" t="n">
        <x:f aca="0">IFERROR(INT('직업'!$B$5*0.3+0.5)*'범례'!$C$29,"")</x:f>
        <x:v>450</x:v>
      </x:c>
      <x:c r="D15" s="38" t="str">
        <x:v>포션 3개 × 최대 HP 30%. 패시브 제외</x:v>
      </x:c>
      <x:c r="E15" s="39"/>
      <x:c r="F15" s="39"/>
      <x:c r="G15" s="39"/>
      <x:c r="H15" s="39"/>
    </x:row>
    <x:row r="16" ht="30" hidden="0" customHeight="1">
      <x:c r="A16" s="10" t="s">
        <x:v>133</x:v>
      </x:c>
      <x:c r="B16" s="23" t="n">
        <x:f aca="0">IFERROR('직업'!$B$5+B15,"")</x:f>
        <x:v>950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134</x:v>
      </x:c>
      <x:c r="B17" s="23" t="str">
        <x:f aca="0">IF(NOT(ISNUMBER(B13)),"",B16-B13)</x:f>
      </x:c>
      <x:c r="D17" s="38" t="s">
        <x:v>135</x:v>
      </x:c>
      <x:c r="E17" s="39"/>
      <x:c r="F17" s="39"/>
      <x:c r="G17" s="39"/>
      <x:c r="H17" s="39"/>
    </x:row>
    <x:row r="18" ht="30" hidden="0" customHeight="1">
      <x:c r="A18" s="10" t="s">
        <x:v>136</x:v>
      </x:c>
      <x:c r="B18" s="23" t="str">
        <x:f aca="0">IF(NOT(ISNUMBER(B14)),"",B16-B14)</x:f>
      </x:c>
      <x:c r="D18" s="38" t="s">
        <x:v>137</x:v>
      </x:c>
      <x:c r="E18" s="39"/>
      <x:c r="F18" s="39"/>
      <x:c r="G18" s="39"/>
      <x:c r="H18" s="39"/>
    </x:row>
    <x:row r="19" ht="30" hidden="0" customHeight="1">
      <x:c r="A19" s="10" t="s">
        <x:v>138</x:v>
      </x:c>
      <x:c r="B19" s="23" t="str">
        <x:f aca="0">IF(OR(NOT(ISNUMBER(B13)),NOT(ISNUMBER(B14))),"",B14-B13)</x:f>
      </x:c>
      <x:c r="D19" s="38" t="s">
        <x:v>139</x:v>
      </x:c>
      <x:c r="E19" s="39"/>
      <x:c r="F19" s="39"/>
      <x:c r="G19" s="39"/>
      <x:c r="H19" s="39"/>
    </x:row>
    <x:row r="22" ht="15" hidden="0">
      <x:c r="A22" s="3" t="s">
        <x:v>140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141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142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143</x:v>
      </x:c>
    </x:row>
    <x:row r="2" ht="15" hidden="0">
      <x:c r="A2" s="21" t="s">
        <x:v>144</x:v>
      </x:c>
    </x:row>
    <x:row r="4" ht="31.5" hidden="0" customHeight="1">
      <x:c r="A4" s="8" t="s">
        <x:v>145</x:v>
      </x:c>
      <x:c r="B4" s="8" t="s">
        <x:v>123</x:v>
      </x:c>
      <x:c r="C4" s="8" t="s">
        <x:v>146</x:v>
      </x:c>
      <x:c r="D4" s="8" t="s">
        <x:v>147</x:v>
      </x:c>
      <x:c r="E4" s="8" t="s">
        <x:v>148</x:v>
      </x:c>
      <x:c r="F4" s="8" t="s">
        <x:v>149</x:v>
      </x:c>
      <x:c r="G4" s="8" t="s">
        <x:v>150</x:v>
      </x:c>
      <x:c r="H4" s="8" t="s">
        <x:v>151</x:v>
      </x:c>
    </x:row>
    <x:row r="5" ht="15" hidden="0">
      <x:c r="A5" s="29" t="n">
        <x:v>1</x:v>
      </x:c>
      <x:c r="B5" s="30" t="s">
        <x:v>152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153</x:v>
      </x:c>
      <x:c r="H5" s="33" t="s">
        <x:v>154</x:v>
      </x:c>
    </x:row>
    <x:row r="6" ht="15" hidden="0">
      <x:c r="A6" s="17"/>
      <x:c r="B6" s="20"/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/>
      <x:c r="B7" s="20"/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/>
      <x:c r="B8" s="20"/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/>
      <x:c r="B9" s="20"/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/>
      <x:c r="B10" s="20"/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155</x:v>
      </x:c>
      <x:c r="C14" s="27" t="n">
        <x:f aca="0">IFERROR(SUM(C6:C11),"")</x:f>
        <x:v>0</x:v>
      </x:c>
      <x:c r="E14" s="25" t="s">
        <x:v>156</x:v>
      </x:c>
    </x:row>
    <x:row r="15" ht="15" hidden="0">
      <x:c r="A15" s="3" t="s">
        <x:v>157</x:v>
      </x:c>
      <x:c r="C15" s="27" t="n">
        <x:f aca="0">IFERROR(SUM(D6:D11),"")</x:f>
        <x:v>0</x:v>
      </x:c>
    </x:row>
  </x:sheetData>
  <x:pageMargins left="0.7" right="0.7" top="0.75" bottom="0.75" header="0.3" footer="0.3"/>
</x:worksheet>
</file>