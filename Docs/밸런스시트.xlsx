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31efe2a64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범례" sheetId="1" r:id="Rc8fb24d91c9a438e"/>
    <x:sheet xmlns:r="http://schemas.openxmlformats.org/officeDocument/2006/relationships" name="직업" sheetId="2" r:id="R855449ec65df41d5"/>
    <x:sheet xmlns:r="http://schemas.openxmlformats.org/officeDocument/2006/relationships" name="스킬" sheetId="3" r:id="R3e05465a2e3044e4"/>
    <x:sheet xmlns:r="http://schemas.openxmlformats.org/officeDocument/2006/relationships" name="덱시뮬" sheetId="4" r:id="R73872ad332c7406f"/>
    <x:sheet xmlns:r="http://schemas.openxmlformats.org/officeDocument/2006/relationships" name="적" sheetId="5" r:id="R695e1d28c69e4dc7"/>
    <x:sheet xmlns:r="http://schemas.openxmlformats.org/officeDocument/2006/relationships" name="HP예산" sheetId="6" r:id="R8d0df99e061347ed"/>
    <x:sheet xmlns:r="http://schemas.openxmlformats.org/officeDocument/2006/relationships" name="인카운터" sheetId="7" r:id="Ra01ae031fdf747c8"/>
  </x:sheets>
</x:workbook>
</file>

<file path=xl/sharedStrings.xml><?xml version="1.0" encoding="utf-8"?>
<x:sst xmlns:x="http://schemas.openxmlformats.org/spreadsheetml/2006/main">
  <x:si>
    <x:r>
      <x:rPr>
        <x:b/>
        <x:sz val="13"/>
        <x:rFont val="Arial"/>
      </x:rPr>
      <x:t xml:space="preserve">Scroll Hunter — </x:t>
    </x:r>
    <x:r>
      <x:rPr>
        <x:b/>
        <x:sz val="13"/>
        <x:rFont val="Noto Sans CJK SC"/>
        <x:family val="2"/>
      </x:rPr>
      <x:t xml:space="preserve">밸런스 시트</x:t>
    </x:r>
  </x:si>
  <x:si>
    <x:r>
      <x:rPr>
        <x:i/>
        <x:sz val="9"/>
        <x:color rgb="FF808080"/>
        <x:rFont val="Noto Sans CJK SC"/>
        <x:family val="2"/>
      </x:rPr>
      <x:t xml:space="preserve">노란 칸만 입력하세요</x:t>
    </x:r>
    <x:r>
      <x:rPr>
        <x:i/>
        <x:sz val="9"/>
        <x:color rgb="FF808080"/>
        <x:rFont val="Arial"/>
      </x:rPr>
      <x:t xml:space="preserve">. </x:t>
    </x:r>
    <x:r>
      <x:rPr>
        <x:i/>
        <x:sz val="9"/>
        <x:color rgb="FF808080"/>
        <x:rFont val="Noto Sans CJK SC"/>
        <x:family val="2"/>
      </x:rPr>
      <x:t xml:space="preserve">검은 글자는 수식입니다</x:t>
    </x:r>
    <x:r>
      <x:rPr>
        <x:i/>
        <x:sz val="9"/>
        <x:color rgb="FF808080"/>
        <x:rFont val="Arial"/>
      </x:rPr>
      <x:t xml:space="preserve">.</x:t>
    </x:r>
  </x:si>
  <x:si>
    <x:t xml:space="preserve">색 규칙</x:t>
  </x:si>
  <x:si>
    <x:r>
      <x:rPr>
        <x:sz val="10"/>
        <x:color rgb="FF0000FF"/>
        <x:rFont val="Noto Sans CJK SC"/>
        <x:family val="2"/>
      </x:rPr>
      <x:t xml:space="preserve">노란 칸 </x:t>
    </x:r>
    <x:r>
      <x:rPr>
        <x:sz val="10"/>
        <x:color rgb="FF0000FF"/>
        <x:rFont val="Arial"/>
      </x:rPr>
      <x:t xml:space="preserve">+ </x:t>
    </x:r>
    <x:r>
      <x:rPr>
        <x:sz val="10"/>
        <x:color rgb="FF0000FF"/>
        <x:rFont val="Noto Sans CJK SC"/>
        <x:family val="2"/>
      </x:rPr>
      <x:t xml:space="preserve">파란 글자</x:t>
    </x:r>
  </x:si>
  <x:si>
    <x:r>
      <x:rPr>
        <x:sz val="10"/>
        <x:rFont val="Noto Sans CJK SC"/>
        <x:family val="2"/>
      </x:rPr>
      <x:t xml:space="preserve">직접 입력</x:t>
    </x:r>
    <x:r>
      <x:rPr>
        <x:sz val="10"/>
        <x:rFont val="Arial"/>
      </x:rPr>
      <x:t xml:space="preserve">. </x:t>
    </x:r>
    <x:r>
      <x:rPr>
        <x:sz val="10"/>
        <x:rFont val="Noto Sans CJK SC"/>
        <x:family val="2"/>
      </x:rPr>
      <x:t xml:space="preserve">여기만 수정하세요</x:t>
    </x:r>
    <x:r>
      <x:rPr>
        <x:sz val="10"/>
        <x:rFont val="Arial"/>
      </x:rPr>
      <x:t xml:space="preserve">.</x:t>
    </x:r>
  </x:si>
  <x:si>
    <x:t xml:space="preserve">검은 글자</x:t>
  </x:si>
  <x:si>
    <x:r>
      <x:rPr>
        <x:sz val="10"/>
        <x:rFont val="Noto Sans CJK SC"/>
        <x:family val="2"/>
      </x:rPr>
      <x:t xml:space="preserve">수식</x:t>
    </x:r>
    <x:r>
      <x:rPr>
        <x:sz val="10"/>
        <x:rFont val="Arial"/>
      </x:rPr>
      <x:t xml:space="preserve">. </x:t>
    </x:r>
    <x:r>
      <x:rPr>
        <x:sz val="10"/>
        <x:rFont val="Noto Sans CJK SC"/>
        <x:family val="2"/>
      </x:rPr>
      <x:t xml:space="preserve">건드리지 마세요</x:t>
    </x:r>
    <x:r>
      <x:rPr>
        <x:sz val="10"/>
        <x:rFont val="Arial"/>
      </x:rPr>
      <x:t xml:space="preserve">.</x:t>
    </x:r>
  </x:si>
  <x:si>
    <x:t xml:space="preserve">회색 이탤릭 행</x:t>
  </x:si>
  <x:si>
    <x:r>
      <x:rPr>
        <x:sz val="10"/>
        <x:rFont val="Noto Sans CJK SC"/>
        <x:family val="2"/>
      </x:rPr>
      <x:t xml:space="preserve">형식 참고용 예시</x:t>
    </x:r>
    <x:r>
      <x:rPr>
        <x:sz val="10"/>
        <x:rFont val="Arial"/>
      </x:rPr>
      <x:t xml:space="preserve">. </x:t>
    </x:r>
    <x:r>
      <x:rPr>
        <x:sz val="10"/>
        <x:rFont val="Noto Sans CJK SC"/>
        <x:family val="2"/>
      </x:rPr>
      <x:t xml:space="preserve">채운 뒤 삭제하세요</x:t>
    </x:r>
    <x:r>
      <x:rPr>
        <x:sz val="10"/>
        <x:rFont val="Arial"/>
      </x:rPr>
      <x:t xml:space="preserve">.</x:t>
    </x:r>
  </x:si>
  <x:si>
    <x:t xml:space="preserve">시트 구성</x:t>
  </x:si>
  <x:si>
    <x:t xml:space="preserve">직업</x:t>
  </x:si>
  <x:si>
    <x:r>
      <x:rPr>
        <x:sz val="10"/>
        <x:rFont val="Noto Sans CJK SC"/>
        <x:family val="2"/>
      </x:rPr>
      <x:t xml:space="preserve">구현 직업 </x:t>
    </x:r>
    <x:r>
      <x:rPr>
        <x:sz val="10"/>
        <x:rFont val="Arial"/>
      </x:rPr>
      <x:t xml:space="preserve">1</x:t>
    </x:r>
    <x:r>
      <x:rPr>
        <x:sz val="10"/>
        <x:rFont val="Noto Sans CJK SC"/>
        <x:family val="2"/>
      </x:rPr>
      <x:t xml:space="preserve">종의 기본 스펙</x:t>
    </x:r>
  </x:si>
  <x:si>
    <x:t xml:space="preserve">스킬</x:t>
  </x:si>
  <x:si>
    <x:t xml:space="preserve">덱시뮬</x:t>
  </x:si>
  <x:si>
    <x:r>
      <x:rPr>
        <x:sz val="10"/>
        <x:rFont val="Noto Sans CJK SC"/>
        <x:family val="2"/>
      </x:rPr>
      <x:t xml:space="preserve">덱 </x:t>
    </x:r>
    <x:r>
      <x:rPr>
        <x:sz val="10"/>
        <x:rFont val="Arial"/>
      </x:rPr>
      <x:t xml:space="preserve">8</x:t>
    </x:r>
    <x:r>
      <x:rPr>
        <x:sz val="10"/>
        <x:rFont val="Noto Sans CJK SC"/>
        <x:family val="2"/>
      </x:rPr>
      <x:t xml:space="preserve">장 시뮬레이션</x:t>
    </x:r>
    <x:r>
      <x:rPr>
        <x:sz val="10"/>
        <x:rFont val="Arial"/>
      </x:rPr>
      <x:t xml:space="preserve">. </x:t>
    </x:r>
    <x:r>
      <x:rPr>
        <x:sz val="10"/>
        <x:rFont val="Noto Sans CJK SC"/>
        <x:family val="2"/>
      </x:rPr>
      <x:t xml:space="preserve">코스트 병목과 행동 잠금 병목을 모두 계산 ★</x:t>
    </x:r>
  </x:si>
  <x:si>
    <x:t xml:space="preserve">적</x:t>
  </x:si>
  <x:si>
    <x:t xml:space="preserve">인카운터</x:t>
  </x:si>
  <x:si>
    <x:r>
      <x:rPr>
        <x:sz val="10"/>
        <x:rFont val="Noto Sans CJK SC"/>
        <x:family val="2"/>
      </x:rPr>
      <x:t xml:space="preserve">전투 </x:t>
    </x:r>
    <x:r>
      <x:rPr>
        <x:sz val="10"/>
        <x:rFont val="Arial"/>
      </x:rPr>
      <x:t xml:space="preserve">5</x:t>
    </x:r>
    <x:r>
      <x:rPr>
        <x:sz val="10"/>
        <x:rFont val="Noto Sans CJK SC"/>
        <x:family val="2"/>
      </x:rPr>
      <x:t xml:space="preserve">회의 목표</x:t>
    </x:r>
    <x:r>
      <x:rPr>
        <x:sz val="10"/>
        <x:rFont val="Arial"/>
      </x:rPr>
      <x:t xml:space="preserve">/</x:t>
    </x:r>
    <x:r>
      <x:rPr>
        <x:sz val="10"/>
        <x:rFont val="Noto Sans CJK SC"/>
        <x:family val="2"/>
      </x:rPr>
      <x:t xml:space="preserve">실측 시간 </x:t>
    </x:r>
    <x:r>
      <x:rPr>
        <x:sz val="10"/>
        <x:rFont val="Arial"/>
      </x:rPr>
      <x:t xml:space="preserve">(18</x:t>
    </x:r>
    <x:r>
      <x:rPr>
        <x:sz val="10"/>
        <x:rFont val="Noto Sans CJK SC"/>
        <x:family val="2"/>
      </x:rPr>
      <x:t xml:space="preserve">일차 갱신</x:t>
    </x:r>
    <x:r>
      <x:rPr>
        <x:sz val="10"/>
        <x:rFont val="Arial"/>
      </x:rPr>
      <x:t xml:space="preserve">)</x:t>
    </x:r>
  </x:si>
  <x:si>
    <x:t xml:space="preserve">항목</x:t>
  </x:si>
  <x:si>
    <x:t xml:space="preserve">설명</x:t>
  </x:si>
  <x:si>
    <x:t xml:space="preserve">값</x:t>
  </x:si>
  <x:si>
    <x:r>
      <x:rPr>
        <x:b/>
        <x:sz val="1000"/>
        <x:color rgb="FFFFFFFF"/>
        <x:rFont val="Noto Sans CJK SC"/>
        <x:family val="2"/>
      </x:rPr>
      <x:t xml:space="preserve">근거 </x:t>
    </x:r>
    <x:r>
      <x:rPr>
        <x:b/>
        <x:sz val="1000"/>
        <x:color rgb="FFFFFFFF"/>
        <x:rFont val="Arial"/>
      </x:rPr>
      <x:t xml:space="preserve">/ </x:t>
    </x:r>
    <x:r>
      <x:rPr>
        <x:b/>
        <x:sz val="1000"/>
        <x:color rgb="FFFFFFFF"/>
        <x:rFont val="Noto Sans CJK SC"/>
        <x:family val="2"/>
      </x:rPr>
      <x:t xml:space="preserve">출처</x:t>
    </x:r>
  </x:si>
  <x:si>
    <x:t xml:space="preserve">크리티컬 배율</x:t>
  </x:si>
  <x:si>
    <x:t xml:space="preserve">크리티컬 발생 시 피해 배수</x:t>
  </x:si>
  <x:si>
    <x:t xml:space="preserve">방어 상수</x:t>
  </x:si>
  <x:si>
    <x:r>
      <x:rPr>
        <x:sz val="1000"/>
        <x:color rgb="FF000000"/>
        <x:rFont val="Noto Sans CJK SC"/>
        <x:family val="2"/>
      </x:rPr>
      <x:t xml:space="preserve">방어감소율 </x:t>
    </x:r>
    <x:r>
      <x:rPr>
        <x:sz val="1000"/>
        <x:color rgb="FF000000"/>
        <x:rFont val="Arial"/>
      </x:rPr>
      <x:t xml:space="preserve">= </x:t>
    </x:r>
    <x:r>
      <x:rPr>
        <x:sz val="1000"/>
        <x:color rgb="FF000000"/>
        <x:rFont val="Noto Sans CJK SC"/>
        <x:family val="2"/>
      </x:rPr>
      <x:t xml:space="preserve">방어력 </x:t>
    </x:r>
    <x:r>
      <x:rPr>
        <x:sz val="1000"/>
        <x:color rgb="FF000000"/>
        <x:rFont val="Arial"/>
      </x:rPr>
      <x:t xml:space="preserve">/ (</x:t>
    </x:r>
    <x:r>
      <x:rPr>
        <x:sz val="1000"/>
        <x:color rgb="FF000000"/>
        <x:rFont val="Noto Sans CJK SC"/>
        <x:family val="2"/>
      </x:rPr>
      <x:t xml:space="preserve">방어력 </x:t>
    </x:r>
    <x:r>
      <x:rPr>
        <x:sz val="1000"/>
        <x:color rgb="FF000000"/>
        <x:rFont val="Arial"/>
      </x:rPr>
      <x:t xml:space="preserve">+ </x:t>
    </x:r>
    <x:r>
      <x:rPr>
        <x:sz val="1000"/>
        <x:color rgb="FF000000"/>
        <x:rFont val="Noto Sans CJK SC"/>
        <x:family val="2"/>
      </x:rPr>
      <x:t xml:space="preserve">상수</x:t>
    </x:r>
    <x:r>
      <x:rPr>
        <x:sz val="1000"/>
        <x:color rgb="FF000000"/>
        <x:rFont val="Arial"/>
      </x:rPr>
      <x:t xml:space="preserve">)</x:t>
    </x:r>
  </x:si>
  <x:si>
    <x:r>
      <x:rPr>
        <x:sz val="1000"/>
        <x:color rgb="FF000000"/>
        <x:rFont val="Arial"/>
      </x:rPr>
      <x:t xml:space="preserve">[</x:t>
    </x:r>
    <x:r>
      <x:rPr>
        <x:sz val="1000"/>
        <x:color rgb="FF000000"/>
        <x:rFont val="Noto Sans CJK SC"/>
        <x:family val="2"/>
      </x:rPr>
      <x:t xml:space="preserve">근거를 적으세요</x:t>
    </x:r>
    <x:r>
      <x:rPr>
        <x:sz val="1000"/>
        <x:color rgb="FF000000"/>
        <x:rFont val="Arial"/>
      </x:rPr>
      <x:t xml:space="preserve">]</x:t>
    </x:r>
  </x:si>
  <x:si>
    <x:t xml:space="preserve">기준 적 방어력</x:t>
  </x:si>
  <x:si>
    <x:t xml:space="preserve">스킬 기대 피해 계산 기준값</x:t>
  </x:si>
  <x:si>
    <x:t xml:space="preserve">기준 방어감소율</x:t>
  </x:si>
  <x:si>
    <x:t xml:space="preserve">위 두 값으로 자동 계산</x:t>
  </x:si>
  <x:si>
    <x:t xml:space="preserve">수식</x:t>
  </x:si>
  <x:si>
    <x:t xml:space="preserve">코스트 초당 회복량</x:t>
  </x:si>
  <x:si>
    <x:t xml:space="preserve">실시간 충전 속도</x:t>
  </x:si>
  <x:si>
    <x:t xml:space="preserve">코스트 상한</x:t>
  </x:si>
  <x:si>
    <x:t xml:space="preserve">초과분은 소멸</x:t>
  </x:si>
  <x:si>
    <x:t xml:space="preserve">전투 시작 코스트</x:t>
  </x:si>
  <x:si>
    <x:r>
      <x:rPr>
        <x:sz val="1000"/>
        <x:color rgb="FF000000"/>
        <x:rFont val="Noto Sans CJK SC"/>
        <x:family val="2"/>
      </x:rPr>
      <x:t xml:space="preserve">최소 </x:t>
    </x:r>
    <x:r>
      <x:rPr>
        <x:sz val="1000"/>
        <x:color rgb="FF000000"/>
        <x:rFont val="Arial"/>
      </x:rPr>
      <x:t xml:space="preserve">GCD (</x:t>
    </x:r>
    <x:r>
      <x:rPr>
        <x:sz val="1000"/>
        <x:color rgb="FF000000"/>
        <x:rFont val="Noto Sans CJK SC"/>
        <x:family val="2"/>
      </x:rPr>
      <x:t xml:space="preserve">초</x:t>
    </x:r>
    <x:r>
      <x:rPr>
        <x:sz val="1000"/>
        <x:color rgb="FF000000"/>
        <x:rFont val="Arial"/>
      </x:rPr>
      <x:t xml:space="preserve">)</x:t>
    </x:r>
  </x:si>
  <x:si>
    <x:r>
      <x:rPr>
        <x:sz val="1000"/>
        <x:color rgb="FF000000"/>
        <x:rFont val="Noto Sans CJK SC"/>
        <x:family val="2"/>
      </x:rPr>
      <x:t xml:space="preserve">행동 잠금 </x:t>
    </x:r>
    <x:r>
      <x:rPr>
        <x:sz val="1000"/>
        <x:color rgb="FF000000"/>
        <x:rFont val="Arial"/>
      </x:rPr>
      <x:t xml:space="preserve">= MAX(</x:t>
    </x:r>
    <x:r>
      <x:rPr>
        <x:sz val="1000"/>
        <x:color rgb="FF000000"/>
        <x:rFont val="Noto Sans CJK SC"/>
        <x:family val="2"/>
      </x:rPr>
      <x:t xml:space="preserve">캐스팅 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이 값</x:t>
    </x:r>
    <x:r>
      <x:rPr>
        <x:sz val="1000"/>
        <x:color rgb="FF000000"/>
        <x:rFont val="Arial"/>
      </x:rPr>
      <x:t xml:space="preserve">)</x:t>
    </x:r>
  </x:si>
  <x:si>
    <x:r>
      <x:rPr>
        <x:sz val="1000"/>
        <x:color rgb="FF000000"/>
        <x:rFont val="Noto Sans CJK SC"/>
        <x:family val="2"/>
      </x:rPr>
      <x:t xml:space="preserve">확정값 </x:t>
    </x:r>
    <x:r>
      <x:rPr>
        <x:sz val="1000"/>
        <x:color rgb="FF000000"/>
        <x:rFont val="Arial"/>
      </x:rPr>
      <x:t xml:space="preserve">(10_</x:t>
    </x:r>
    <x:r>
      <x:rPr>
        <x:sz val="1000"/>
        <x:color rgb="FF000000"/>
        <x:rFont val="Noto Sans CJK SC"/>
        <x:family val="2"/>
      </x:rPr>
      <x:t xml:space="preserve">결정사항</x:t>
    </x:r>
    <x:r>
      <x:rPr>
        <x:sz val="1000"/>
        <x:color rgb="FF000000"/>
        <x:rFont val="Arial"/>
      </x:rPr>
      <x:t xml:space="preserve">_</x:t>
    </x:r>
    <x:r>
      <x:rPr>
        <x:sz val="1000"/>
        <x:color rgb="FF000000"/>
        <x:rFont val="Noto Sans CJK SC"/>
        <x:family val="2"/>
      </x:rPr>
      <x:t xml:space="preserve">로그 </x:t>
    </x:r>
    <x:r>
      <x:rPr>
        <x:sz val="1000"/>
        <x:color rgb="FF000000"/>
        <x:rFont val="Arial"/>
      </x:rPr>
      <x:t xml:space="preserve">A1). </x:t>
    </x:r>
    <x:r>
      <x:rPr>
        <x:sz val="1000"/>
        <x:color rgb="FF000000"/>
        <x:rFont val="Noto Sans CJK SC"/>
        <x:family val="2"/>
      </x:rPr>
      <x:t xml:space="preserve">코스트가 꽉 찼을 때의 연타 속도를 제한</x:t>
    </x:r>
  </x:si>
  <x:si>
    <x:r>
      <x:rPr>
        <x:sz val="1000"/>
        <x:color rgb="FF000000"/>
        <x:rFont val="Noto Sans CJK SC"/>
        <x:family val="2"/>
      </x:rPr>
      <x:t xml:space="preserve">목표 전투 시간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잡몹</x:t>
    </x:r>
    <x:r>
      <x:rPr>
        <x:sz val="1000"/>
        <x:color rgb="FF000000"/>
        <x:rFont val="Arial"/>
      </x:rPr>
      <x:t xml:space="preserve">)</x:t>
    </x:r>
  </x:si>
  <x:si>
    <x:t xml:space="preserve">초</x:t>
  </x:si>
  <x:si>
    <x:r>
      <x:rPr>
        <x:sz val="1000"/>
        <x:color rgb="FF000000"/>
        <x:rFont val="Noto Sans CJK SC"/>
        <x:family val="2"/>
      </x:rPr>
      <x:t xml:space="preserve">목표 전투 시간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보스</x:t>
    </x:r>
    <x:r>
      <x:rPr>
        <x:sz val="1000"/>
        <x:color rgb="FF000000"/>
        <x:rFont val="Arial"/>
      </x:rPr>
      <x:t xml:space="preserve">)</x:t>
    </x:r>
  </x:si>
  <x:si>
    <x:t xml:space="preserve">잡몹전 평균 적 수</x:t>
  </x:si>
  <x:si>
    <x:t xml:space="preserve">직업 스펙</x:t>
  </x:si>
  <x:si>
    <x:t xml:space="preserve">이름</x:t>
  </x:si>
  <x:si>
    <x:t xml:space="preserve">HP</x:t>
  </x:si>
  <x:si>
    <x:t xml:space="preserve">방어력</x:t>
  </x:si>
  <x:si>
    <x:t xml:space="preserve">기대 크리 배율</x:t>
  </x:si>
  <x:si>
    <x:t xml:space="preserve">설계 메모</x:t>
  </x:si>
  <x:si>
    <x:t xml:space="preserve">마법사</x:t>
  </x:si>
  <x:si>
    <x:r>
      <x:rPr>
        <x:i/>
        <x:sz val="900"/>
        <x:color rgb="FF808080"/>
        <x:rFont val="Arial"/>
      </x:rPr>
      <x:t xml:space="preserve">5</x:t>
    </x:r>
    <x:r>
      <x:rPr>
        <x:i/>
        <x:sz val="900"/>
        <x:color rgb="FF808080"/>
        <x:rFont val="Noto Sans CJK SC"/>
        <x:family val="2"/>
      </x:rPr>
      <x:t xml:space="preserve">행이 실제 데이터입니다</x:t>
    </x:r>
    <x:r>
      <x:rPr>
        <x:i/>
        <x:sz val="900"/>
        <x:color rgb="FF808080"/>
        <x:rFont val="Arial"/>
      </x:rPr>
      <x:t xml:space="preserve">. </x:t>
    </x:r>
    <x:r>
      <x:rPr>
        <x:i/>
        <x:sz val="900"/>
        <x:color rgb="FF808080"/>
        <x:rFont val="Noto Sans CJK SC"/>
        <x:family val="2"/>
      </x:rPr>
      <x:t xml:space="preserve">스킬 시트가 이 행을 참조하므로 행을 옮기지 마세요</x:t>
    </x:r>
    <x:r>
      <x:rPr>
        <x:i/>
        <x:sz val="900"/>
        <x:color rgb="FF808080"/>
        <x:rFont val="Arial"/>
      </x:rPr>
      <x:t xml:space="preserve">.</x:t>
    </x:r>
  </x:si>
  <x:si>
    <x:r>
      <x:rPr>
        <x:b/>
        <x:sz val="13"/>
        <x:rFont val="Noto Sans CJK SC"/>
        <x:family val="2"/>
      </x:rPr>
      <x:t xml:space="preserve">스킬 풀 밸런스 </x:t>
    </x:r>
    <x:r>
      <x:rPr>
        <x:b/>
        <x:sz val="13"/>
        <x:rFont val="Arial"/>
      </x:rPr>
      <x:t xml:space="preserve">(14</x:t>
    </x:r>
    <x:r>
      <x:rPr>
        <x:b/>
        <x:sz val="13"/>
        <x:rFont val="Noto Sans CJK SC"/>
        <x:family val="2"/>
      </x:rPr>
      <x:t xml:space="preserve">종</x:t>
    </x:r>
    <x:r>
      <x:rPr>
        <x:b/>
        <x:sz val="13"/>
        <x:rFont val="Arial"/>
      </x:rPr>
      <x:t xml:space="preserve">)</x:t>
    </x:r>
  </x:si>
  <x:si>
    <x:t xml:space="preserve">ID</x:t>
  </x:si>
  <x:si>
    <x:t xml:space="preserve">스킬명</x:t>
  </x:si>
  <x:si>
    <x:t xml:space="preserve">분류</x:t>
  </x:si>
  <x:si>
    <x:t xml:space="preserve">코스트</x:t>
  </x:si>
  <x:si>
    <x:r>
      <x:rPr>
        <x:b/>
        <x:sz val="10"/>
        <x:color rgb="FFFFFFFF"/>
        <x:rFont val="Noto Sans CJK SC"/>
        <x:family val="2"/>
      </x:rPr>
      <x:t xml:space="preserve">잠금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초</x:t>
    </x:r>
    <x:r>
      <x:rPr>
        <x:b/>
        <x:sz val="10"/>
        <x:color rgb="FFFFFFFF"/>
        <x:rFont val="Arial"/>
      </x:rPr>
      <x:t xml:space="preserve">)</x:t>
    </x:r>
  </x:si>
  <x:si>
    <x:t xml:space="preserve">타수</x:t>
  </x:si>
  <x:si>
    <x:t xml:space="preserve">총 피해량</x:t>
  </x:si>
  <x:si>
    <x:r>
      <x:rPr>
        <x:b/>
        <x:sz val="1000"/>
        <x:color rgb="FFFFFFFF"/>
        <x:rFont val="Noto Sans CJK SC"/>
        <x:family val="2"/>
      </x:rPr>
      <x:t xml:space="preserve">기대 피해 </x:t>
    </x:r>
    <x:r>
      <x:rPr>
        <x:b/>
        <x:sz val="1000"/>
        <x:color rgb="FFFFFFFF"/>
        <x:rFont val="Arial"/>
      </x:rPr>
      <x:t xml:space="preserve">(1</x:t>
    </x:r>
    <x:r>
      <x:rPr>
        <x:b/>
        <x:sz val="1000"/>
        <x:color rgb="FFFFFFFF"/>
        <x:rFont val="Noto Sans CJK SC"/>
        <x:family val="2"/>
      </x:rPr>
      <x:t xml:space="preserve">체</x:t>
    </x:r>
    <x:r>
      <x:rPr>
        <x:b/>
        <x:sz val="1000"/>
        <x:color rgb="FFFFFFFF"/>
        <x:rFont val="Arial"/>
      </x:rPr>
      <x:t xml:space="preserve">)</x:t>
    </x:r>
  </x:si>
  <x:si>
    <x:r>
      <x:rPr>
        <x:b/>
        <x:sz val="1000"/>
        <x:color rgb="FFFFFFFF"/>
        <x:rFont val="Noto Sans CJK SC"/>
        <x:family val="2"/>
      </x:rPr>
      <x:t xml:space="preserve">기대 피해 </x:t>
    </x:r>
    <x:r>
      <x:rPr>
        <x:b/>
        <x:sz val="1000"/>
        <x:color rgb="FFFFFFFF"/>
        <x:rFont val="Arial"/>
      </x:rPr>
      <x:t xml:space="preserve">(</x:t>
    </x:r>
    <x:r>
      <x:rPr>
        <x:b/>
        <x:sz val="1000"/>
        <x:color rgb="FFFFFFFF"/>
        <x:rFont val="Noto Sans CJK SC"/>
        <x:family val="2"/>
      </x:rPr>
      <x:t xml:space="preserve">잡몹</x:t>
    </x:r>
    <x:r>
      <x:rPr>
        <x:b/>
        <x:sz val="1000"/>
        <x:color rgb="FFFFFFFF"/>
        <x:rFont val="Arial"/>
      </x:rPr>
      <x:t xml:space="preserve">)</x:t>
    </x:r>
  </x:si>
  <x:si>
    <x:r>
      <x:rPr>
        <x:b/>
        <x:sz val="1000"/>
        <x:color rgb="FFFFFFFF"/>
        <x:rFont val="Noto Sans CJK SC"/>
        <x:family val="2"/>
      </x:rPr>
      <x:t xml:space="preserve">코스트당 </x:t>
    </x:r>
    <x:r>
      <x:rPr>
        <x:b/>
        <x:sz val="1000"/>
        <x:color rgb="FFFFFFFF"/>
        <x:rFont val="Arial"/>
      </x:rPr>
      <x:t xml:space="preserve">(</x:t>
    </x:r>
    <x:r>
      <x:rPr>
        <x:b/>
        <x:sz val="1000"/>
        <x:color rgb="FFFFFFFF"/>
        <x:rFont val="Noto Sans CJK SC"/>
        <x:family val="2"/>
      </x:rPr>
      <x:t xml:space="preserve">잡몹</x:t>
    </x:r>
    <x:r>
      <x:rPr>
        <x:b/>
        <x:sz val="1000"/>
        <x:color rgb="FFFFFFFF"/>
        <x:rFont val="Arial"/>
      </x:rPr>
      <x:t xml:space="preserve">)</x:t>
    </x:r>
  </x:si>
  <x:si>
    <x:r>
      <x:rPr>
        <x:b/>
        <x:sz val="1000"/>
        <x:color rgb="FFFFFFFF"/>
        <x:rFont val="Noto Sans CJK SC"/>
        <x:family val="2"/>
      </x:rPr>
      <x:t xml:space="preserve">시간당 </x:t>
    </x:r>
    <x:r>
      <x:rPr>
        <x:b/>
        <x:sz val="1000"/>
        <x:color rgb="FFFFFFFF"/>
        <x:rFont val="Arial"/>
      </x:rPr>
      <x:t xml:space="preserve">(</x:t>
    </x:r>
    <x:r>
      <x:rPr>
        <x:b/>
        <x:sz val="1000"/>
        <x:color rgb="FFFFFFFF"/>
        <x:rFont val="Noto Sans CJK SC"/>
        <x:family val="2"/>
      </x:rPr>
      <x:t xml:space="preserve">잡몹</x:t>
    </x:r>
    <x:r>
      <x:rPr>
        <x:b/>
        <x:sz val="1000"/>
        <x:color rgb="FFFFFFFF"/>
        <x:rFont val="Arial"/>
      </x:rPr>
      <x:t xml:space="preserve">)</x:t>
    </x:r>
  </x:si>
  <x:si>
    <x:t xml:space="preserve">방어도 부여</x:t>
  </x:si>
  <x:si>
    <x:r>
      <x:rPr>
        <x:b/>
        <x:sz val="10"/>
        <x:color rgb="FFFFFFFF"/>
        <x:rFont val="Noto Sans CJK SC"/>
        <x:family val="2"/>
      </x:rPr>
      <x:t xml:space="preserve">경직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초</x:t>
    </x:r>
    <x:r>
      <x:rPr>
        <x:b/>
        <x:sz val="10"/>
        <x:color rgb="FFFFFFFF"/>
        <x:rFont val="Arial"/>
      </x:rPr>
      <x:t xml:space="preserve">)</x:t>
    </x:r>
  </x:si>
  <x:si>
    <x:r>
      <x:rPr>
        <x:b/>
        <x:sz val="10"/>
        <x:color rgb="FFFFFFFF"/>
        <x:rFont val="Noto Sans CJK SC"/>
        <x:family val="2"/>
      </x:rPr>
      <x:t xml:space="preserve">검증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코스트</x:t>
    </x:r>
    <x:r>
      <x:rPr>
        <x:b/>
        <x:sz val="10"/>
        <x:color rgb="FFFFFFFF"/>
        <x:rFont val="Arial"/>
      </x:rPr>
      <x:t xml:space="preserve">)</x:t>
    </x:r>
  </x:si>
  <x:si>
    <x:r>
      <x:rPr>
        <x:b/>
        <x:sz val="10"/>
        <x:color rgb="FFFFFFFF"/>
        <x:rFont val="Noto Sans CJK SC"/>
        <x:family val="2"/>
      </x:rPr>
      <x:t xml:space="preserve">검증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시간</x:t>
    </x:r>
    <x:r>
      <x:rPr>
        <x:b/>
        <x:sz val="10"/>
        <x:color rgb="FFFFFFFF"/>
        <x:rFont val="Arial"/>
      </x:rPr>
      <x:t xml:space="preserve">)</x:t>
    </x:r>
  </x:si>
  <x:si>
    <x:t xml:space="preserve">코스트당 최대</x:t>
  </x:si>
  <x:si>
    <x:r>
      <x:rPr>
        <x:i/>
        <x:sz val="900"/>
        <x:color rgb="FF808080"/>
        <x:rFont val="Noto Sans CJK SC"/>
        <x:family val="2"/>
      </x:rPr>
      <x:t xml:space="preserve">차단</x:t>
    </x:r>
    <x:r>
      <x:rPr>
        <x:i/>
        <x:sz val="900"/>
        <x:color rgb="FF808080"/>
        <x:rFont val="Arial"/>
      </x:rPr>
      <x:t xml:space="preserve">·</x:t>
    </x:r>
    <x:r>
      <x:rPr>
        <x:i/>
        <x:sz val="900"/>
        <x:color rgb="FF808080"/>
        <x:rFont val="Noto Sans CJK SC"/>
        <x:family val="2"/>
      </x:rPr>
      <x:t xml:space="preserve">방어 카드는 제외됨</x:t>
    </x:r>
  </x:si>
  <x:si>
    <x:t xml:space="preserve">코스트당 최소</x:t>
  </x:si>
  <x:si>
    <x:t xml:space="preserve">코스트당 비율</x:t>
  </x:si>
  <x:si>
    <x:r>
      <x:rPr>
        <x:i/>
        <x:sz val="900"/>
        <x:color rgb="FF808080"/>
        <x:rFont val="Noto Sans CJK SC"/>
        <x:family val="2"/>
      </x:rPr>
      <x:t xml:space="preserve">목표 </x:t>
    </x:r>
    <x:r>
      <x:rPr>
        <x:i/>
        <x:sz val="900"/>
        <x:color rgb="FF808080"/>
        <x:rFont val="Arial"/>
      </x:rPr>
      <x:t xml:space="preserve">1.30 </x:t>
    </x:r>
    <x:r>
      <x:rPr>
        <x:i/>
        <x:sz val="900"/>
        <x:color rgb="FF808080"/>
        <x:rFont val="Noto Sans CJK SC"/>
        <x:family val="2"/>
      </x:rPr>
      <x:t xml:space="preserve">이하</x:t>
    </x:r>
  </x:si>
  <x:si>
    <x:t xml:space="preserve">시간당 최대</x:t>
  </x:si>
  <x:si>
    <x:t xml:space="preserve">잠금 시간 대비 효율</x:t>
  </x:si>
  <x:si>
    <x:t xml:space="preserve">시간당 최소</x:t>
  </x:si>
  <x:si>
    <x:t xml:space="preserve">시간당 비율</x:t>
  </x:si>
  <x:si>
    <x:r>
      <x:rPr>
        <x:sz val="1000"/>
        <x:color rgb="FF000000"/>
        <x:rFont val="Noto Sans CJK SC"/>
        <x:family val="2"/>
      </x:rPr>
      <x:t xml:space="preserve">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단일 장수</x:t>
    </x:r>
  </x:si>
  <x:si>
    <x:r>
      <x:rPr>
        <x:sz val="1000"/>
        <x:color rgb="FF000000"/>
        <x:rFont val="Noto Sans CJK SC"/>
        <x:family val="2"/>
      </x:rPr>
      <x:t xml:space="preserve">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광역 장수</x:t>
    </x:r>
  </x:si>
  <x:si>
    <x:r>
      <x:rPr>
        <x:i/>
        <x:sz val="900"/>
        <x:color rgb="FF808080"/>
        <x:rFont val="Noto Sans CJK SC"/>
        <x:family val="2"/>
      </x:rPr>
      <x:t xml:space="preserve">목표 </x:t>
    </x:r>
    <x:r>
      <x:rPr>
        <x:i/>
        <x:sz val="900"/>
        <x:color rgb="FF808080"/>
        <x:rFont val="Arial"/>
      </x:rPr>
      <x:t xml:space="preserve">4</x:t>
    </x:r>
  </x:si>
  <x:si>
    <x:t xml:space="preserve">차단 카드 장수</x:t>
  </x:si>
  <x:si>
    <x:t xml:space="preserve">방어 카드 장수</x:t>
  </x:si>
  <x:si>
    <x:r>
      <x:rPr>
        <x:b/>
        <x:sz val="1000"/>
        <x:color rgb="FF000000"/>
        <x:rFont val="Noto Sans CJK SC"/>
        <x:family val="2"/>
      </x:rPr>
      <x:t xml:space="preserve">단일 </x:t>
    </x:r>
    <x:r>
      <x:rPr>
        <x:b/>
        <x:sz val="1000"/>
        <x:color rgb="FF000000"/>
        <x:rFont val="Arial"/>
      </x:rPr>
      <x:t xml:space="preserve">/ </x:t>
    </x:r>
    <x:r>
      <x:rPr>
        <x:b/>
        <x:sz val="1000"/>
        <x:color rgb="FF000000"/>
        <x:rFont val="Noto Sans CJK SC"/>
        <x:family val="2"/>
      </x:rPr>
      <x:t xml:space="preserve">광역 설계</x:t>
    </x:r>
  </x:si>
  <x:si>
    <x:r>
      <x:rPr>
        <x:b/>
        <x:sz val="13"/>
        <x:rFont val="Noto Sans CJK SC"/>
        <x:family val="2"/>
      </x:rPr>
      <x:t xml:space="preserve">덱 </x:t>
    </x:r>
    <x:r>
      <x:rPr>
        <x:b/>
        <x:sz val="13"/>
        <x:rFont val="Arial"/>
      </x:rPr>
      <x:t xml:space="preserve">8</x:t>
    </x:r>
    <x:r>
      <x:rPr>
        <x:b/>
        <x:sz val="13"/>
        <x:rFont val="Noto Sans CJK SC"/>
        <x:family val="2"/>
      </x:rPr>
      <x:t xml:space="preserve">장 구성 시뮬레이션</x:t>
    </x:r>
  </x:si>
  <x:si>
    <x:r>
      <x:rPr>
        <x:i/>
        <x:sz val="9"/>
        <x:color rgb="FF808080"/>
        <x:rFont val="Arial"/>
      </x:rPr>
      <x:t xml:space="preserve">B</x:t>
    </x:r>
    <x:r>
      <x:rPr>
        <x:i/>
        <x:sz val="9"/>
        <x:color rgb="FF808080"/>
        <x:rFont val="Noto Sans CJK SC"/>
        <x:family val="2"/>
      </x:rPr>
      <x:t xml:space="preserve">열에 스킬명만 입력하면 나머지는 자동 계산됩니다</x:t>
    </x:r>
    <x:r>
      <x:rPr>
        <x:i/>
        <x:sz val="9"/>
        <x:color rgb="FF808080"/>
        <x:rFont val="Arial"/>
      </x:rPr>
      <x:t xml:space="preserve">. </x:t>
    </x:r>
    <x:r>
      <x:rPr>
        <x:i/>
        <x:sz val="9"/>
        <x:color rgb="FF808080"/>
        <x:rFont val="Noto Sans CJK SC"/>
        <x:family val="2"/>
      </x:rPr>
      <x:t xml:space="preserve">스킬 시트의 스킬명과 정확히 일치해야 합니다</x:t>
    </x:r>
    <x:r>
      <x:rPr>
        <x:i/>
        <x:sz val="9"/>
        <x:color rgb="FF808080"/>
        <x:rFont val="Arial"/>
      </x:rPr>
      <x:t xml:space="preserve">.</x:t>
    </x:r>
  </x:si>
  <x:si>
    <x:t xml:space="preserve">슬롯</x:t>
  </x:si>
  <x:si>
    <x:t xml:space="preserve">위치</x:t>
  </x:si>
  <x:si>
    <x:t xml:space="preserve">대응카드 코스트기준</x:t>
  </x:si>
  <x:si>
    <x:t xml:space="preserve">대응카드 잠금기준</x:t>
  </x:si>
  <x:si>
    <x:t xml:space="preserve">검증</x:t>
  </x:si>
  <x:si>
    <x:t xml:space="preserve">덱 총 코스트</x:t>
  </x:si>
  <x:si>
    <x:r>
      <x:rPr>
        <x:sz val="1000"/>
        <x:color rgb="FF000000"/>
        <x:rFont val="Noto Sans CJK SC"/>
        <x:family val="2"/>
      </x:rPr>
      <x:t xml:space="preserve">덱 </x:t>
    </x:r>
    <x:r>
      <x:rPr>
        <x:sz val="1000"/>
        <x:color rgb="FF000000"/>
        <x:rFont val="Arial"/>
      </x:rPr>
      <x:t xml:space="preserve">1</x:t>
    </x:r>
    <x:r>
      <x:rPr>
        <x:sz val="1000"/>
        <x:color rgb="FF000000"/>
        <x:rFont val="Noto Sans CJK SC"/>
        <x:family val="2"/>
      </x:rPr>
      <x:t xml:space="preserve">사이클 총 잠금 시간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초</x:t>
    </x:r>
    <x:r>
      <x:rPr>
        <x:sz val="1000"/>
        <x:color rgb="FF000000"/>
        <x:rFont val="Arial"/>
      </x:rPr>
      <x:t xml:space="preserve">)</x:t>
    </x:r>
  </x:si>
  <x:si>
    <x:r>
      <x:rPr>
        <x:i/>
        <x:sz val="900"/>
        <x:color rgb="FF808080"/>
        <x:rFont val="Arial"/>
      </x:rPr>
      <x:t xml:space="preserve">1</x:t>
    </x:r>
    <x:r>
      <x:rPr>
        <x:i/>
        <x:sz val="900"/>
        <x:color rgb="FF808080"/>
        <x:rFont val="Noto Sans CJK SC"/>
        <x:family val="2"/>
      </x:rPr>
      <x:t xml:space="preserve">사이클 시간보다 크면 코스트가 아니라 잠금이 병목입니다</x:t>
    </x:r>
  </x:si>
  <x:si>
    <x:t xml:space="preserve">목표 전투 시간 대비 사이클 수</x:t>
  </x:si>
  <x:si>
    <x:r>
      <x:rPr>
        <x:i/>
        <x:sz val="900"/>
        <x:color rgb="FF808080"/>
        <x:rFont val="Noto Sans CJK SC"/>
        <x:family val="2"/>
      </x:rPr>
      <x:t xml:space="preserve">목표 </x:t>
    </x:r>
    <x:r>
      <x:rPr>
        <x:i/>
        <x:sz val="900"/>
        <x:color rgb="FF808080"/>
        <x:rFont val="Arial"/>
      </x:rPr>
      <x:t xml:space="preserve">1.0~1.5</x:t>
    </x:r>
    <x:r>
      <x:rPr>
        <x:i/>
        <x:sz val="900"/>
        <x:color rgb="FF808080"/>
        <x:rFont val="Noto Sans CJK SC"/>
        <x:family val="2"/>
      </x:rPr>
      <x:t xml:space="preserve">회</x:t>
    </x:r>
  </x:si>
  <x:si>
    <x:r>
      <x:rPr>
        <x:sz val="1000"/>
        <x:color rgb="FF000000"/>
        <x:rFont val="Noto Sans CJK SC"/>
        <x:family val="2"/>
      </x:rPr>
      <x:t xml:space="preserve">대응 카드 장수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차단</x:t>
    </x:r>
    <x:r>
      <x:rPr>
        <x:sz val="1000"/>
        <x:color rgb="FF000000"/>
        <x:rFont val="Arial"/>
      </x:rPr>
      <x:t xml:space="preserve">+</x:t>
    </x:r>
    <x:r>
      <x:rPr>
        <x:sz val="1000"/>
        <x:color rgb="FF000000"/>
        <x:rFont val="Noto Sans CJK SC"/>
        <x:family val="2"/>
      </x:rPr>
      <x:t xml:space="preserve">방어</x:t>
    </x:r>
    <x:r>
      <x:rPr>
        <x:sz val="1000"/>
        <x:color rgb="FF000000"/>
        <x:rFont val="Arial"/>
      </x:rPr>
      <x:t xml:space="preserve">)</x:t>
    </x:r>
  </x:si>
  <x:si>
    <x:r>
      <x:rPr>
        <x:i/>
        <x:sz val="900"/>
        <x:color rgb="FF808080"/>
        <x:rFont val="Noto Sans CJK SC"/>
        <x:family val="2"/>
      </x:rPr>
      <x:t xml:space="preserve">권장 </x:t>
    </x:r>
    <x:r>
      <x:rPr>
        <x:i/>
        <x:sz val="900"/>
        <x:color rgb="FF808080"/>
        <x:rFont val="Arial"/>
      </x:rPr>
      <x:t xml:space="preserve">2~3</x:t>
    </x:r>
    <x:r>
      <x:rPr>
        <x:i/>
        <x:sz val="900"/>
        <x:color rgb="FF808080"/>
        <x:rFont val="Noto Sans CJK SC"/>
        <x:family val="2"/>
      </x:rPr>
      <x:t xml:space="preserve">장</x:t>
    </x:r>
  </x:si>
  <x:si>
    <x:t xml:space="preserve">이 시트의 목적</x:t>
  </x:si>
  <x:si>
    <x:r>
      <x:rPr>
        <x:i/>
        <x:sz val="900"/>
        <x:color rgb="FF808080"/>
        <x:rFont val="Noto Sans CJK SC"/>
        <x:family val="2"/>
      </x:rPr>
      <x:t xml:space="preserve">앞쪽에 캐스팅 긴 카드를 몰아두면 코스트가 넘쳐도 못 끌어옵니다</x:t>
    </x:r>
    <x:r>
      <x:rPr>
        <x:i/>
        <x:sz val="900"/>
        <x:color rgb="FF808080"/>
        <x:rFont val="Arial"/>
      </x:rPr>
      <x:t xml:space="preserve">. </x:t>
    </x:r>
    <x:r>
      <x:rPr>
        <x:i/>
        <x:sz val="900"/>
        <x:color rgb="FF808080"/>
        <x:rFont val="Noto Sans CJK SC"/>
        <x:family val="2"/>
      </x:rPr>
      <x:t xml:space="preserve">덱 순서 자체가 설계 결정입니다</x:t>
    </x:r>
    <x:r>
      <x:rPr>
        <x:i/>
        <x:sz val="900"/>
        <x:color rgb="FF808080"/>
        <x:rFont val="Arial"/>
      </x:rPr>
      <x:t xml:space="preserve">.</x:t>
    </x:r>
  </x:si>
  <x:si>
    <x:t xml:space="preserve">적 스펙</x:t>
  </x:si>
  <x:si>
    <x:r>
      <x:rPr>
        <x:i/>
        <x:sz val="9"/>
        <x:color rgb="FF808080"/>
        <x:rFont val="Arial"/>
      </x:rPr>
      <x:t xml:space="preserve">F</x:t>
    </x:r>
    <x:r>
      <x:rPr>
        <x:i/>
        <x:sz val="9"/>
        <x:color rgb="FF808080"/>
        <x:rFont val="Noto Sans CJK SC"/>
        <x:family val="2"/>
      </x:rPr>
      <x:t xml:space="preserve">열</x:t>
    </x:r>
    <x:r>
      <x:rPr>
        <x:i/>
        <x:sz val="9"/>
        <x:color rgb="FF808080"/>
        <x:rFont val="Arial"/>
      </x:rPr>
      <x:t xml:space="preserve">(</x:t>
    </x:r>
    <x:r>
      <x:rPr>
        <x:i/>
        <x:sz val="9"/>
        <x:color rgb="FF808080"/>
        <x:rFont val="Noto Sans CJK SC"/>
        <x:family val="2"/>
      </x:rPr>
      <x:t xml:space="preserve">방어감소율</x:t>
    </x:r>
    <x:r>
      <x:rPr>
        <x:i/>
        <x:sz val="9"/>
        <x:color rgb="FF808080"/>
        <x:rFont val="Arial"/>
      </x:rPr>
      <x:t xml:space="preserve">), I</x:t>
    </x:r>
    <x:r>
      <x:rPr>
        <x:i/>
        <x:sz val="9"/>
        <x:color rgb="FF808080"/>
        <x:rFont val="Noto Sans CJK SC"/>
        <x:family val="2"/>
      </x:rPr>
      <x:t xml:space="preserve">열</x:t>
    </x:r>
    <x:r>
      <x:rPr>
        <x:i/>
        <x:sz val="9"/>
        <x:color rgb="FF808080"/>
        <x:rFont val="Arial"/>
      </x:rPr>
      <x:t xml:space="preserve">(</x:t>
    </x:r>
    <x:r>
      <x:rPr>
        <x:i/>
        <x:sz val="9"/>
        <x:color rgb="FF808080"/>
        <x:rFont val="Noto Sans CJK SC"/>
        <x:family val="2"/>
      </x:rPr>
      <x:t xml:space="preserve">예상 처치 시간</x:t>
    </x:r>
    <x:r>
      <x:rPr>
        <x:i/>
        <x:sz val="9"/>
        <x:color rgb="FF808080"/>
        <x:rFont val="Arial"/>
      </x:rPr>
      <x:t xml:space="preserve">)</x:t>
    </x:r>
    <x:r>
      <x:rPr>
        <x:i/>
        <x:sz val="9"/>
        <x:color rgb="FF808080"/>
        <x:rFont val="Noto Sans CJK SC"/>
        <x:family val="2"/>
      </x:rPr>
      <x:t xml:space="preserve">은 자동 계산</x:t>
    </x:r>
    <x:r>
      <x:rPr>
        <x:i/>
        <x:sz val="9"/>
        <x:color rgb="FF808080"/>
        <x:rFont val="Arial"/>
      </x:rPr>
      <x:t xml:space="preserve">.</x:t>
    </x:r>
  </x:si>
  <x:si>
    <x:t xml:space="preserve">담당 색상</x:t>
  </x:si>
  <x:si>
    <x:t xml:space="preserve">피해량</x:t>
  </x:si>
  <x:si>
    <x:t xml:space="preserve">방어감소율</x:t>
  </x:si>
  <x:si>
    <x:r>
      <x:rPr>
        <x:b/>
        <x:sz val="1000"/>
        <x:color rgb="FFFFFFFF"/>
        <x:rFont val="Noto Sans CJK SC"/>
        <x:family val="2"/>
      </x:rPr>
      <x:t xml:space="preserve">캐스팅</x:t>
    </x:r>
    <x:r>
      <x:rPr>
        <x:b/>
        <x:sz val="1000"/>
        <x:color rgb="FFFFFFFF"/>
        <x:rFont val="Arial"/>
      </x:rPr>
      <x:t xml:space="preserve">(</x:t>
    </x:r>
    <x:r>
      <x:rPr>
        <x:b/>
        <x:sz val="1000"/>
        <x:color rgb="FFFFFFFF"/>
        <x:rFont val="Noto Sans CJK SC"/>
        <x:family val="2"/>
      </x:rPr>
      <x:t xml:space="preserve">초</x:t>
    </x:r>
    <x:r>
      <x:rPr>
        <x:b/>
        <x:sz val="1000"/>
        <x:color rgb="FFFFFFFF"/>
        <x:rFont val="Arial"/>
      </x:rPr>
      <x:t xml:space="preserve">)</x:t>
    </x:r>
  </x:si>
  <x:si>
    <x:t xml:space="preserve">차단 가능</x:t>
  </x:si>
  <x:si>
    <x:t xml:space="preserve">교육 의도</x:t>
  </x:si>
  <x:si>
    <x:t xml:space="preserve">초록</x:t>
  </x:si>
  <x:si>
    <x:t xml:space="preserve">주황</x:t>
  </x:si>
  <x:si>
    <x:t xml:space="preserve">가능</x:t>
  </x:si>
  <x:si>
    <x:t xml:space="preserve">차단 카드의 존재와 사용 타이밍</x:t>
  </x:si>
  <x:si>
    <x:t xml:space="preserve">빨강</x:t>
  </x:si>
  <x:si>
    <x:t xml:space="preserve">불가</x:t>
  </x:si>
  <x:si>
    <x:r>
      <x:rPr>
        <x:b/>
        <x:sz val="1300"/>
        <x:color rgb="FF000000"/>
        <x:rFont val="Noto Sans CJK SC"/>
        <x:family val="2"/>
      </x:rPr>
      <x:t xml:space="preserve">런 전체 </x:t>
    </x:r>
    <x:r>
      <x:rPr>
        <x:b/>
        <x:sz val="1300"/>
        <x:color rgb="FF000000"/>
        <x:rFont val="Arial"/>
      </x:rPr>
      <x:t xml:space="preserve">HP </x:t>
    </x:r>
    <x:r>
      <x:rPr>
        <x:b/>
        <x:sz val="1300"/>
        <x:color rgb="FF000000"/>
        <x:rFont val="Noto Sans CJK SC"/>
        <x:family val="2"/>
      </x:rPr>
      <x:t xml:space="preserve">예산</x:t>
    </x:r>
  </x:si>
  <x:si>
    <x:t xml:space="preserve">전투</x:t>
  </x:si>
  <x:si>
    <x:t xml:space="preserve">구성</x:t>
  </x:si>
  <x:si>
    <x:t xml:space="preserve">완벽 대응 시 피해</x:t>
  </x:si>
  <x:si>
    <x:t xml:space="preserve">평범 대응 시 피해</x:t>
  </x:si>
  <x:si>
    <x:r>
      <x:rPr>
        <x:b/>
        <x:sz val="1000"/>
        <x:color rgb="FFFFFFFF"/>
        <x:rFont val="Noto Sans CJK SC"/>
        <x:family val="2"/>
      </x:rPr>
      <x:t xml:space="preserve">누적 </x:t>
    </x:r>
    <x:r>
      <x:rPr>
        <x:b/>
        <x:sz val="1000"/>
        <x:color rgb="FFFFFFFF"/>
        <x:rFont val="Arial"/>
      </x:rPr>
      <x:t xml:space="preserve">HP (</x:t>
    </x:r>
    <x:r>
      <x:rPr>
        <x:b/>
        <x:sz val="1000"/>
        <x:color rgb="FFFFFFFF"/>
        <x:rFont val="Noto Sans CJK SC"/>
        <x:family val="2"/>
      </x:rPr>
      <x:t xml:space="preserve">완벽</x:t>
    </x:r>
    <x:r>
      <x:rPr>
        <x:b/>
        <x:sz val="1000"/>
        <x:color rgb="FFFFFFFF"/>
        <x:rFont val="Arial"/>
      </x:rPr>
      <x:t xml:space="preserve">)</x:t>
    </x:r>
  </x:si>
  <x:si>
    <x:r>
      <x:rPr>
        <x:b/>
        <x:sz val="1000"/>
        <x:color rgb="FFFFFFFF"/>
        <x:rFont val="Noto Sans CJK SC"/>
        <x:family val="2"/>
      </x:rPr>
      <x:t xml:space="preserve">누적 </x:t>
    </x:r>
    <x:r>
      <x:rPr>
        <x:b/>
        <x:sz val="1000"/>
        <x:color rgb="FFFFFFFF"/>
        <x:rFont val="Arial"/>
      </x:rPr>
      <x:t xml:space="preserve">HP (</x:t>
    </x:r>
    <x:r>
      <x:rPr>
        <x:b/>
        <x:sz val="1000"/>
        <x:color rgb="FFFFFFFF"/>
        <x:rFont val="Noto Sans CJK SC"/>
        <x:family val="2"/>
      </x:rPr>
      <x:t xml:space="preserve">평범</x:t>
    </x:r>
    <x:r>
      <x:rPr>
        <x:b/>
        <x:sz val="1000"/>
        <x:color rgb="FFFFFFFF"/>
        <x:rFont val="Arial"/>
      </x:rPr>
      <x:t xml:space="preserve">)</x:t>
    </x:r>
  </x:si>
  <x:si>
    <x:t xml:space="preserve">판정</x:t>
  </x:si>
  <x:si>
    <x:t xml:space="preserve">비고</x:t>
  </x:si>
  <x:si>
    <x:t xml:space="preserve">총 피해 — 완벽 대응</x:t>
  </x:si>
  <x:si>
    <x:t xml:space="preserve">총 피해 — 평범 대응</x:t>
  </x:si>
  <x:si>
    <x:t xml:space="preserve">포션 총 회복량</x:t>
  </x:si>
  <x:si>
    <x:t xml:space="preserve">감당 가능 총 피해</x:t>
  </x:si>
  <x:si>
    <x:t xml:space="preserve">완벽 대응 여유</x:t>
  </x:si>
  <x:si>
    <x:r>
      <x:rPr>
        <x:i/>
        <x:sz val="900"/>
        <x:color rgb="FF808080"/>
        <x:rFont val="Noto Sans CJK SC"/>
        <x:family val="2"/>
      </x:rPr>
      <x:t xml:space="preserve">클수록 쉬움</x:t>
    </x:r>
    <x:r>
      <x:rPr>
        <x:i/>
        <x:sz val="900"/>
        <x:color rgb="FF808080"/>
        <x:rFont val="Arial"/>
      </x:rPr>
      <x:t xml:space="preserve">. </x:t>
    </x:r>
    <x:r>
      <x:rPr>
        <x:i/>
        <x:sz val="900"/>
        <x:color rgb="FF808080"/>
        <x:rFont val="Noto Sans CJK SC"/>
        <x:family val="2"/>
      </x:rPr>
      <x:t xml:space="preserve">목표 </x:t>
    </x:r>
    <x:r>
      <x:rPr>
        <x:i/>
        <x:sz val="900"/>
        <x:color rgb="FF808080"/>
        <x:rFont val="Arial"/>
      </x:rPr>
      <x:t xml:space="preserve">600 </x:t>
    </x:r>
    <x:r>
      <x:rPr>
        <x:i/>
        <x:sz val="900"/>
        <x:color rgb="FF808080"/>
        <x:rFont val="Noto Sans CJK SC"/>
        <x:family val="2"/>
      </x:rPr>
      <x:t xml:space="preserve">이상</x:t>
    </x:r>
  </x:si>
  <x:si>
    <x:t xml:space="preserve">평범 대응 여유</x:t>
  </x:si>
  <x:si>
    <x:r>
      <x:rPr>
        <x:i/>
        <x:sz val="900"/>
        <x:color rgb="FF808080"/>
        <x:rFont val="Noto Sans CJK SC"/>
        <x:family val="2"/>
      </x:rPr>
      <x:t xml:space="preserve">목표 </x:t>
    </x:r>
    <x:r>
      <x:rPr>
        <x:i/>
        <x:sz val="900"/>
        <x:color rgb="FF808080"/>
        <x:rFont val="Arial"/>
      </x:rPr>
      <x:t xml:space="preserve">0~200. </x:t>
    </x:r>
    <x:r>
      <x:rPr>
        <x:i/>
        <x:sz val="900"/>
        <x:color rgb="FF808080"/>
        <x:rFont val="Noto Sans CJK SC"/>
        <x:family val="2"/>
      </x:rPr>
      <x:t xml:space="preserve">음수면 평범한 플레이로 클리어 불가</x:t>
    </x:r>
  </x:si>
  <x:si>
    <x:t xml:space="preserve">대응 성공의 가치</x:t>
  </x:si>
  <x:si>
    <x:r>
      <x:rPr>
        <x:i/>
        <x:sz val="900"/>
        <x:color rgb="FF808080"/>
        <x:rFont val="Noto Sans CJK SC"/>
        <x:family val="2"/>
      </x:rPr>
      <x:t xml:space="preserve">이 값이 클수록 방어 카드가 의미 있음</x:t>
    </x:r>
    <x:r>
      <x:rPr>
        <x:i/>
        <x:sz val="900"/>
        <x:color rgb="FF808080"/>
        <x:rFont val="Arial"/>
      </x:rPr>
      <x:t xml:space="preserve">. </x:t>
    </x:r>
    <x:r>
      <x:rPr>
        <x:i/>
        <x:sz val="900"/>
        <x:color rgb="FF808080"/>
        <x:rFont val="Noto Sans CJK SC"/>
        <x:family val="2"/>
      </x:rPr>
      <x:t xml:space="preserve">목표 </x:t>
    </x:r>
    <x:r>
      <x:rPr>
        <x:i/>
        <x:sz val="900"/>
        <x:color rgb="FF808080"/>
        <x:rFont val="Arial"/>
      </x:rPr>
      <x:t xml:space="preserve">300 </x:t>
    </x:r>
    <x:r>
      <x:rPr>
        <x:i/>
        <x:sz val="900"/>
        <x:color rgb="FF808080"/>
        <x:rFont val="Noto Sans CJK SC"/>
        <x:family val="2"/>
      </x:rPr>
      <x:t xml:space="preserve">이상</x:t>
    </x:r>
  </x:si>
  <x:si>
    <x:t xml:space="preserve">설계 목표</x:t>
  </x:si>
  <x:si>
    <x:r>
      <x:rPr>
        <x:i/>
        <x:sz val="900"/>
        <x:color rgb="FF808080"/>
        <x:rFont val="Arial"/>
      </x:rPr>
      <x:t xml:space="preserve">'</x:t>
    </x:r>
    <x:r>
      <x:rPr>
        <x:i/>
        <x:sz val="900"/>
        <x:color rgb="FF808080"/>
        <x:rFont val="Noto Sans CJK SC"/>
        <x:family val="2"/>
      </x:rPr>
      <x:t xml:space="preserve">대응 성공의 가치</x:t>
    </x:r>
    <x:r>
      <x:rPr>
        <x:i/>
        <x:sz val="900"/>
        <x:color rgb="FF808080"/>
        <x:rFont val="Arial"/>
      </x:rPr>
      <x:t xml:space="preserve">'</x:t>
    </x:r>
    <x:r>
      <x:rPr>
        <x:i/>
        <x:sz val="900"/>
        <x:color rgb="FF808080"/>
        <x:rFont val="Noto Sans CJK SC"/>
        <x:family val="2"/>
      </x:rPr>
      <x:t xml:space="preserve">가 작으면 방어 카드를 넣을 이유가 없습니다</x:t>
    </x:r>
    <x:r>
      <x:rPr>
        <x:i/>
        <x:sz val="900"/>
        <x:color rgb="FF808080"/>
        <x:rFont val="Arial"/>
      </x:rPr>
      <x:t xml:space="preserve">. </x:t>
    </x:r>
    <x:r>
      <x:rPr>
        <x:i/>
        <x:sz val="900"/>
        <x:color rgb="FF808080"/>
        <x:rFont val="Noto Sans CJK SC"/>
        <x:family val="2"/>
      </x:rPr>
      <x:t xml:space="preserve">빨강 공격 피해를 키우세요</x:t>
    </x:r>
    <x:r>
      <x:rPr>
        <x:i/>
        <x:sz val="900"/>
        <x:color rgb="FF808080"/>
        <x:rFont val="Arial"/>
      </x:rPr>
      <x:t xml:space="preserve">.</x:t>
    </x:r>
  </x:si>
  <x:si>
    <x:r>
      <x:rPr>
        <x:i/>
        <x:sz val="900"/>
        <x:color rgb="FF808080"/>
        <x:rFont val="Arial"/>
      </x:rPr>
      <x:t xml:space="preserve">'</x:t>
    </x:r>
    <x:r>
      <x:rPr>
        <x:i/>
        <x:sz val="900"/>
        <x:color rgb="FF808080"/>
        <x:rFont val="Noto Sans CJK SC"/>
        <x:family val="2"/>
      </x:rPr>
      <x:t xml:space="preserve">평범 대응 여유</x:t>
    </x:r>
    <x:r>
      <x:rPr>
        <x:i/>
        <x:sz val="900"/>
        <x:color rgb="FF808080"/>
        <x:rFont val="Arial"/>
      </x:rPr>
      <x:t xml:space="preserve">'</x:t>
    </x:r>
    <x:r>
      <x:rPr>
        <x:i/>
        <x:sz val="900"/>
        <x:color rgb="FF808080"/>
        <x:rFont val="Noto Sans CJK SC"/>
        <x:family val="2"/>
      </x:rPr>
      <x:t xml:space="preserve">가 크게 음수면 </x:t>
    </x:r>
    <x:r>
      <x:rPr>
        <x:i/>
        <x:sz val="900"/>
        <x:color rgb="FF808080"/>
        <x:rFont val="Arial"/>
      </x:rPr>
      <x:t xml:space="preserve">2~3</x:t>
    </x:r>
    <x:r>
      <x:rPr>
        <x:i/>
        <x:sz val="900"/>
        <x:color rgb="FF808080"/>
        <x:rFont val="Noto Sans CJK SC"/>
        <x:family val="2"/>
      </x:rPr>
      <x:t xml:space="preserve">전투에서 이미 클리어가 불가능해집니다</x:t>
    </x:r>
    <x:r>
      <x:rPr>
        <x:i/>
        <x:sz val="900"/>
        <x:color rgb="FF808080"/>
        <x:rFont val="Arial"/>
      </x:rPr>
      <x:t xml:space="preserve">. </x:t>
    </x:r>
    <x:r>
      <x:rPr>
        <x:i/>
        <x:sz val="900"/>
        <x:color rgb="FF808080"/>
        <x:rFont val="Noto Sans CJK SC"/>
        <x:family val="2"/>
      </x:rPr>
      <x:t xml:space="preserve">적 피해를 낮추세요</x:t>
    </x:r>
    <x:r>
      <x:rPr>
        <x:i/>
        <x:sz val="900"/>
        <x:color rgb="FF808080"/>
        <x:rFont val="Arial"/>
      </x:rPr>
      <x:t xml:space="preserve">.</x:t>
    </x:r>
  </x:si>
  <x:si>
    <x:t xml:space="preserve">인카운터 구성 및 실측</x:t>
  </x:si>
  <x:si>
    <x:t xml:space="preserve">번호</x:t>
  </x:si>
  <x:si>
    <x:r>
      <x:rPr>
        <x:b/>
        <x:sz val="1000"/>
        <x:color rgb="FFFFFFFF"/>
        <x:rFont val="Noto Sans CJK SC"/>
        <x:family val="2"/>
      </x:rPr>
      <x:t xml:space="preserve">목표 시간</x:t>
    </x:r>
    <x:r>
      <x:rPr>
        <x:b/>
        <x:sz val="1000"/>
        <x:color rgb="FFFFFFFF"/>
        <x:rFont val="Arial"/>
      </x:rPr>
      <x:t xml:space="preserve">(</x:t>
    </x:r>
    <x:r>
      <x:rPr>
        <x:b/>
        <x:sz val="1000"/>
        <x:color rgb="FFFFFFFF"/>
        <x:rFont val="Noto Sans CJK SC"/>
        <x:family val="2"/>
      </x:rPr>
      <x:t xml:space="preserve">초</x:t>
    </x:r>
    <x:r>
      <x:rPr>
        <x:b/>
        <x:sz val="1000"/>
        <x:color rgb="FFFFFFFF"/>
        <x:rFont val="Arial"/>
      </x:rPr>
      <x:t xml:space="preserve">)</x:t>
    </x:r>
  </x:si>
  <x:si>
    <x:r>
      <x:rPr>
        <x:b/>
        <x:sz val="1000"/>
        <x:color rgb="FFFFFFFF"/>
        <x:rFont val="Noto Sans CJK SC"/>
        <x:family val="2"/>
      </x:rPr>
      <x:t xml:space="preserve">실측 시간</x:t>
    </x:r>
    <x:r>
      <x:rPr>
        <x:b/>
        <x:sz val="1000"/>
        <x:color rgb="FFFFFFFF"/>
        <x:rFont val="Arial"/>
      </x:rPr>
      <x:t xml:space="preserve">(</x:t>
    </x:r>
    <x:r>
      <x:rPr>
        <x:b/>
        <x:sz val="1000"/>
        <x:color rgb="FFFFFFFF"/>
        <x:rFont val="Noto Sans CJK SC"/>
        <x:family val="2"/>
      </x:rPr>
      <x:t xml:space="preserve">초</x:t>
    </x:r>
    <x:r>
      <x:rPr>
        <x:b/>
        <x:sz val="1000"/>
        <x:color rgb="FFFFFFFF"/>
        <x:rFont val="Arial"/>
      </x:rPr>
      <x:t xml:space="preserve">)</x:t>
    </x:r>
  </x:si>
  <x:si>
    <x:r>
      <x:rPr>
        <x:b/>
        <x:sz val="1000"/>
        <x:color rgb="FFFFFFFF"/>
        <x:rFont val="Noto Sans CJK SC"/>
        <x:family val="2"/>
      </x:rPr>
      <x:t xml:space="preserve">차이</x:t>
    </x:r>
    <x:r>
      <x:rPr>
        <x:b/>
        <x:sz val="1000"/>
        <x:color rgb="FFFFFFFF"/>
        <x:rFont val="Arial"/>
      </x:rPr>
      <x:t xml:space="preserve">(</x:t>
    </x:r>
    <x:r>
      <x:rPr>
        <x:b/>
        <x:sz val="1000"/>
        <x:color rgb="FFFFFFFF"/>
        <x:rFont val="Noto Sans CJK SC"/>
        <x:family val="2"/>
      </x:rPr>
      <x:t xml:space="preserve">초</x:t>
    </x:r>
    <x:r>
      <x:rPr>
        <x:b/>
        <x:sz val="1000"/>
        <x:color rgb="FFFFFFFF"/>
        <x:rFont val="Arial"/>
      </x:rPr>
      <x:t xml:space="preserve">)</x:t>
    </x:r>
  </x:si>
  <x:si>
    <x:t xml:space="preserve">오차율</x:t>
  </x:si>
  <x:si>
    <x:t xml:space="preserve">신규 요소</x:t>
  </x:si>
  <x:si>
    <x:t xml:space="preserve">수정 내용과 근거</x:t>
  </x:si>
  <x:si>
    <x:r>
      <x:rPr>
        <x:i/>
        <x:sz val="900"/>
        <x:color rgb="FF808080"/>
        <x:rFont val="Arial"/>
      </x:rPr>
      <x:t xml:space="preserve">(</x:t>
    </x:r>
    <x:r>
      <x:rPr>
        <x:i/>
        <x:sz val="900"/>
        <x:color rgb="FF808080"/>
        <x:rFont val="Noto Sans CJK SC"/>
        <x:family val="2"/>
      </x:rPr>
      <x:t xml:space="preserve">예시</x:t>
    </x:r>
    <x:r>
      <x:rPr>
        <x:i/>
        <x:sz val="900"/>
        <x:color rgb="FF808080"/>
        <x:rFont val="Arial"/>
      </x:rPr>
      <x:t xml:space="preserve">) </x:t>
    </x:r>
    <x:r>
      <x:rPr>
        <x:i/>
        <x:sz val="900"/>
        <x:color rgb="FF808080"/>
        <x:rFont val="Noto Sans CJK SC"/>
        <x:family val="2"/>
      </x:rPr>
      <x:t xml:space="preserve">잡몹</x:t>
    </x:r>
    <x:r>
      <x:rPr>
        <x:i/>
        <x:sz val="900"/>
        <x:color rgb="FF808080"/>
        <x:rFont val="Arial"/>
      </x:rPr>
      <x:t xml:space="preserve">A ×2</x:t>
    </x:r>
  </x:si>
  <x:si>
    <x:t xml:space="preserve">기본 루프</x:t>
  </x:si>
  <x:si>
    <x:r>
      <x:rPr>
        <x:i/>
        <x:sz val="900"/>
        <x:color rgb="FF808080"/>
        <x:rFont val="Noto Sans CJK SC"/>
        <x:family val="2"/>
      </x:rPr>
      <x:t xml:space="preserve">목표 대비 </x:t>
    </x:r>
    <x:r>
      <x:rPr>
        <x:i/>
        <x:sz val="900"/>
        <x:color rgb="FF808080"/>
        <x:rFont val="Arial"/>
      </x:rPr>
      <x:t xml:space="preserve">45% </x:t>
    </x:r>
    <x:r>
      <x:rPr>
        <x:i/>
        <x:sz val="900"/>
        <x:color rgb="FF808080"/>
        <x:rFont val="Noto Sans CJK SC"/>
        <x:family val="2"/>
      </x:rPr>
      <x:t xml:space="preserve">초과</x:t>
    </x:r>
    <x:r>
      <x:rPr>
        <x:i/>
        <x:sz val="900"/>
        <x:color rgb="FF808080"/>
        <x:rFont val="Arial"/>
      </x:rPr>
      <x:t xml:space="preserve">. </x:t>
    </x:r>
    <x:r>
      <x:rPr>
        <x:i/>
        <x:sz val="900"/>
        <x:color rgb="FF808080"/>
        <x:rFont val="Noto Sans CJK SC"/>
        <x:family val="2"/>
      </x:rPr>
      <x:t xml:space="preserve">적 </x:t>
    </x:r>
    <x:r>
      <x:rPr>
        <x:i/>
        <x:sz val="900"/>
        <x:color rgb="FF808080"/>
        <x:rFont val="Arial"/>
      </x:rPr>
      <x:t xml:space="preserve">HP 300→220 </x:t>
    </x:r>
    <x:r>
      <x:rPr>
        <x:i/>
        <x:sz val="900"/>
        <x:color rgb="FF808080"/>
        <x:rFont val="Noto Sans CJK SC"/>
        <x:family val="2"/>
      </x:rPr>
      <x:t xml:space="preserve">하향 </x:t>
    </x:r>
    <x:r>
      <x:rPr>
        <x:i/>
        <x:sz val="900"/>
        <x:color rgb="FF808080"/>
        <x:rFont val="Arial"/>
      </x:rPr>
      <x:t xml:space="preserve">(18</x:t>
    </x:r>
    <x:r>
      <x:rPr>
        <x:i/>
        <x:sz val="900"/>
        <x:color rgb="FF808080"/>
        <x:rFont val="Noto Sans CJK SC"/>
        <x:family val="2"/>
      </x:rPr>
      <x:t xml:space="preserve">일차</x:t>
    </x:r>
    <x:r>
      <x:rPr>
        <x:i/>
        <x:sz val="900"/>
        <x:color rgb="FF808080"/>
        <x:rFont val="Arial"/>
      </x:rPr>
      <x:t xml:space="preserve">)</x:t>
    </x:r>
  </x:si>
  <x:si>
    <x:r>
      <x:rPr>
        <x:b/>
        <x:sz val="1000"/>
        <x:color rgb="FF000000"/>
        <x:rFont val="Noto Sans CJK SC"/>
        <x:family val="2"/>
      </x:rPr>
      <x:t xml:space="preserve">총 목표 전투 시간</x:t>
    </x:r>
    <x:r>
      <x:rPr>
        <x:b/>
        <x:sz val="1000"/>
        <x:color rgb="FF000000"/>
        <x:rFont val="Arial"/>
      </x:rPr>
      <x:t xml:space="preserve">(</x:t>
    </x:r>
    <x:r>
      <x:rPr>
        <x:b/>
        <x:sz val="1000"/>
        <x:color rgb="FF000000"/>
        <x:rFont val="Noto Sans CJK SC"/>
        <x:family val="2"/>
      </x:rPr>
      <x:t xml:space="preserve">초</x:t>
    </x:r>
    <x:r>
      <x:rPr>
        <x:b/>
        <x:sz val="1000"/>
        <x:color rgb="FF000000"/>
        <x:rFont val="Arial"/>
      </x:rPr>
      <x:t xml:space="preserve">)</x:t>
    </x:r>
  </x:si>
  <x:si>
    <x:r>
      <x:rPr>
        <x:b/>
        <x:sz val="1000"/>
        <x:color rgb="FF000000"/>
        <x:rFont val="Noto Sans CJK SC"/>
        <x:family val="2"/>
      </x:rPr>
      <x:t xml:space="preserve">총 실측 전투 시간</x:t>
    </x:r>
    <x:r>
      <x:rPr>
        <x:b/>
        <x:sz val="1000"/>
        <x:color rgb="FF000000"/>
        <x:rFont val="Arial"/>
      </x:rPr>
      <x:t xml:space="preserve">(</x:t>
    </x:r>
    <x:r>
      <x:rPr>
        <x:b/>
        <x:sz val="1000"/>
        <x:color rgb="FF000000"/>
        <x:rFont val="Noto Sans CJK SC"/>
        <x:family val="2"/>
      </x:rPr>
      <x:t xml:space="preserve">초</x:t>
    </x:r>
    <x:r>
      <x:rPr>
        <x:b/>
        <x:sz val="1000"/>
        <x:color rgb="FF000000"/>
        <x:rFont val="Arial"/>
      </x:rPr>
      <x:t xml:space="preserve">)</x:t>
    </x:r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</x:si>
</x:sst>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0.0%"/>
    <x:numFmt numFmtId="166" formatCode="0.00"/>
    <x:numFmt numFmtId="167" formatCode="0.0"/>
    <x:numFmt numFmtId="168" formatCode="0"/>
  </x:numFmts>
  <x:fonts count="1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name val="Arial"/>
    </x:font>
    <x:font>
      <x:b/>
      <x:sz val="13"/>
      <x:name val="Noto Sans CJK SC"/>
    </x:font>
    <x:font>
      <x:i/>
      <x:sz val="9"/>
      <x:color rgb="FF808080"/>
      <x:name val="Noto Sans CJK SC"/>
    </x:font>
    <x:font>
      <x:i/>
      <x:sz val="9"/>
      <x:color rgb="FF808080"/>
      <x:name val="Arial"/>
    </x:font>
    <x:font>
      <x:b/>
      <x:sz val="10"/>
      <x:name val="Noto Sans CJK SC"/>
    </x:font>
    <x:font>
      <x:sz val="10"/>
      <x:name val="Arial"/>
    </x:font>
    <x:font>
      <x:sz val="10"/>
      <x:color rgb="FF0000FF"/>
      <x:name val="Noto Sans CJK SC"/>
    </x:font>
    <x:font>
      <x:sz val="10"/>
      <x:color rgb="FF0000FF"/>
      <x:name val="Arial"/>
    </x:font>
    <x:font>
      <x:sz val="10"/>
      <x:name val="Noto Sans CJK SC"/>
    </x:font>
    <x:font>
      <x:b/>
      <x:sz val="10"/>
      <x:color rgb="FFFFFFFF"/>
      <x:name val="Noto Sans CJK SC"/>
    </x:font>
    <x:font>
      <x:b/>
      <x:sz val="10"/>
      <x:color rgb="FFFFFFFF"/>
      <x:name val="Arial"/>
    </x:font>
    <x:font>
      <x:b/>
      <x:sz val="10"/>
      <x:color rgb="FFC00000"/>
      <x:name val="Noto Sans CJK SC"/>
    </x:font>
    <x:font>
      <x:b/>
      <x:sz val="10"/>
      <x:color rgb="FFC0000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44546A"/>
      </x:patternFill>
    </x:fill>
    <x:fill>
      <x:patternFill patternType="solid">
        <x:fgColor rgb="FFF2F2F2"/>
      </x:patternFill>
    </x:fill>
  </x:fills>
  <x:borders count="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2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9" fillId="0" borderId="0" xfId="0" applyFont="1" applyBorder="0" applyAlignment="1">
      <x:alignment horizontal="left" vertical="center" wrapText="1"/>
    </x:xf>
    <x:xf numFmtId="164" fontId="10" fillId="2" borderId="0" xfId="0" applyFont="1" applyBorder="0" applyAlignment="0">
      <x:alignment horizontal="general" vertical="bottom" wrapText="0"/>
    </x:xf>
    <x:xf numFmtId="164" fontId="12" fillId="0" borderId="0" xfId="0" applyFont="1" applyBorder="0" applyAlignment="1">
      <x:alignment horizontal="left" vertical="center" wrapText="1"/>
    </x:xf>
    <x:xf numFmtId="164" fontId="12" fillId="0" borderId="0" xfId="0" applyFont="1" applyBorder="0" applyAlignment="0">
      <x:alignment horizontal="general" vertical="bottom" wrapText="0"/>
    </x:xf>
    <x:xf numFmtId="164" fontId="13" fillId="3" borderId="1" xfId="0" applyFont="1" applyBorder="1" applyAlignment="1">
      <x:alignment horizontal="center" vertical="center" wrapText="0"/>
    </x:xf>
    <x:xf numFmtId="164" fontId="12" fillId="0" borderId="1" xfId="0" applyFont="1" applyBorder="1" applyAlignment="0">
      <x:alignment horizontal="general" vertical="bottom" wrapText="0"/>
    </x:xf>
    <x:xf numFmtId="164" fontId="12" fillId="0" borderId="1" xfId="0" applyFont="1" applyBorder="1" applyAlignment="1">
      <x:alignment horizontal="left" vertical="center" wrapText="1"/>
    </x:xf>
    <x:xf numFmtId="164" fontId="11" fillId="2" borderId="1" xfId="0" applyFont="1" applyBorder="1" applyAlignment="1">
      <x:alignment horizontal="center" vertical="center" wrapText="0"/>
    </x:xf>
    <x:xf numFmtId="164" fontId="9" fillId="0" borderId="1" xfId="0" applyFont="1" applyBorder="1" applyAlignment="1">
      <x:alignment horizontal="left" vertical="center" wrapText="1"/>
    </x:xf>
    <x:xf numFmtId="165" fontId="9" fillId="0" borderId="1" xfId="0" applyFont="1" applyBorder="1" applyAlignment="1">
      <x:alignment horizontal="center" vertical="center" wrapText="0"/>
    </x:xf>
    <x:xf numFmtId="164" fontId="15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14" fillId="3" borderId="1" xfId="0" applyFont="1" applyBorder="1" applyAlignment="1">
      <x:alignment horizontal="center" vertical="center" wrapText="0"/>
    </x:xf>
    <x:xf numFmtId="164" fontId="10" fillId="2" borderId="1" xfId="0" applyFont="1" applyBorder="1" applyAlignment="1">
      <x:alignment horizontal="center" vertical="center" wrapText="0"/>
    </x:xf>
    <x:xf numFmtId="165" fontId="11" fillId="2" borderId="1" xfId="0" applyFont="1" applyBorder="1" applyAlignment="1">
      <x:alignment horizontal="center" vertical="center" wrapText="0"/>
    </x:xf>
    <x:xf numFmtId="166" fontId="9" fillId="0" borderId="1" xfId="0" applyFont="1" applyBorder="1" applyAlignment="1">
      <x:alignment horizontal="center" vertical="center" wrapText="0"/>
    </x:xf>
    <x:xf numFmtId="164" fontId="10" fillId="2" borderId="1" xfId="0" applyFont="1" applyBorder="1" applyAlignment="1">
      <x:alignment horizontal="left" vertical="center" wrapText="1"/>
    </x:xf>
    <x:xf numFmtId="164" fontId="7" fillId="0" borderId="0" xfId="0" applyFont="1" applyBorder="0" applyAlignment="0">
      <x:alignment horizontal="general" vertical="bottom" wrapText="0"/>
    </x:xf>
    <x:xf numFmtId="167" fontId="9" fillId="0" borderId="1" xfId="0" applyFont="1" applyBorder="1" applyAlignment="1">
      <x:alignment horizontal="center" vertical="center" wrapText="0"/>
    </x:xf>
    <x:xf numFmtId="168" fontId="9" fillId="0" borderId="1" xfId="0" applyFont="1" applyBorder="1" applyAlignment="1">
      <x:alignment horizontal="center" vertical="center" wrapText="0"/>
    </x:xf>
    <x:xf numFmtId="164" fontId="11" fillId="2" borderId="1" xfId="0" applyFont="1" applyBorder="1" applyAlignment="1">
      <x:alignment horizontal="left" vertical="center" wrapText="1"/>
    </x:xf>
    <x:xf numFmtId="164" fontId="6" fillId="0" borderId="0" xfId="0" applyFont="1" applyBorder="0" applyAlignment="1">
      <x:alignment horizontal="left" vertical="center" wrapText="1"/>
    </x:xf>
    <x:xf numFmtId="164" fontId="7" fillId="0" borderId="0" xfId="0" applyFont="1" applyBorder="0" applyAlignment="1">
      <x:alignment horizontal="left" vertical="center" wrapText="1"/>
    </x:xf>
    <x:xf numFmtId="164" fontId="9" fillId="0" borderId="1" xfId="0" applyFont="1" applyBorder="1" applyAlignment="1">
      <x:alignment horizontal="center" vertical="center" wrapText="0"/>
    </x:xf>
    <x:xf numFmtId="164" fontId="16" fillId="0" borderId="0" xfId="0" applyFont="1" applyBorder="0" applyAlignment="0">
      <x:alignment horizontal="general" vertical="bottom" wrapText="0"/>
    </x:xf>
    <x:xf numFmtId="164" fontId="7" fillId="4" borderId="1" xfId="0" applyFont="1" applyBorder="1" applyAlignment="1">
      <x:alignment horizontal="center" vertical="center" wrapText="0"/>
    </x:xf>
    <x:xf numFmtId="164" fontId="7" fillId="4" borderId="1" xfId="0" applyFont="1" applyBorder="1" applyAlignment="1">
      <x:alignment horizontal="left" vertical="center" wrapText="1"/>
    </x:xf>
    <x:xf numFmtId="168" fontId="7" fillId="4" borderId="1" xfId="0" applyFont="1" applyBorder="1" applyAlignment="1">
      <x:alignment horizontal="center" vertical="center" wrapText="0"/>
    </x:xf>
    <x:xf numFmtId="165" fontId="7" fillId="4" borderId="1" xfId="0" applyFont="1" applyBorder="1" applyAlignment="1">
      <x:alignment horizontal="center" vertical="center" wrapText="0"/>
    </x:xf>
    <x:xf numFmtId="164" fontId="6" fillId="4" borderId="1" xfId="0" applyFont="1" applyBorder="1" applyAlignment="1">
      <x:alignment horizontal="left" vertical="center" wrapText="1"/>
    </x:xf>
    <x:xf numFmtId="164" fontId="10" fillId="2" borderId="1" xfId="0" applyNumberFormat="1" applyFont="1" applyFill="1" applyBorder="1" applyAlignment="1">
      <x:alignment horizontal="left" vertical="center" wrapText="1"/>
    </x:xf>
    <x:xf numFmtId="164" fontId="6" fillId="0" borderId="0" xfId="0" applyNumberFormat="1" applyFont="1" applyFill="1" applyBorder="1" applyAlignment="1">
      <x:alignment horizontal="left" vertical="center" wrapText="1"/>
    </x:xf>
    <x:xf numFmtId="164" fontId="7" fillId="0" borderId="0" xfId="0" applyNumberFormat="1" applyFont="1" applyFill="1" applyBorder="1" applyAlignment="1">
      <x:alignment horizontal="left" vertical="center" wrapText="1"/>
    </x:xf>
    <x:xf numFmtId="164" fontId="13" fillId="3" borderId="1" xfId="0" applyNumberFormat="1" applyFont="1" applyFill="1" applyBorder="1" applyAlignment="1">
      <x:alignment horizontal="center" vertical="center" wrapText="1"/>
    </x:xf>
    <x:xf numFmtId="164" fontId="6" fillId="0" borderId="0" xfId="0" applyNumberFormat="1" applyFont="1" applyFill="1" applyBorder="1" applyAlignment="1">
      <x:alignment horizontal="left" vertical="center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center" wrapText="0"/>
    </x:xf>
    <x:xf numFmtId="166" fontId="1" fillId="0" borderId="1" xfId="0" applyNumberFormat="1" applyFont="1" applyFill="1" applyBorder="1" applyAlignment="1">
      <x:alignment horizontal="center" vertical="center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44546A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27a3f79e640cf" /><Relationship Type="http://schemas.openxmlformats.org/officeDocument/2006/relationships/theme" Target="/xl/theme/theme1.xml" Id="R0f45be7cd8ee479a" /><Relationship Type="http://schemas.openxmlformats.org/officeDocument/2006/relationships/sharedStrings" Target="/xl/sharedStrings.xml" Id="Reb6c1920ae5a4547" /><Relationship Type="http://schemas.openxmlformats.org/officeDocument/2006/relationships/worksheet" Target="/xl/worksheets/sheet1.xml" Id="Rc8fb24d91c9a438e" /><Relationship Type="http://schemas.openxmlformats.org/officeDocument/2006/relationships/worksheet" Target="/xl/worksheets/sheet2.xml" Id="R855449ec65df41d5" /><Relationship Type="http://schemas.openxmlformats.org/officeDocument/2006/relationships/worksheet" Target="/xl/worksheets/sheet3.xml" Id="R3e05465a2e3044e4" /><Relationship Type="http://schemas.openxmlformats.org/officeDocument/2006/relationships/worksheet" Target="/xl/worksheets/sheet4.xml" Id="R73872ad332c7406f" /><Relationship Type="http://schemas.openxmlformats.org/officeDocument/2006/relationships/worksheet" Target="/xl/worksheets/sheet5.xml" Id="R695e1d28c69e4dc7" /><Relationship Type="http://schemas.openxmlformats.org/officeDocument/2006/relationships/worksheet" Target="/xl/worksheets/sheet6.xml" Id="R8d0df99e061347ed" /><Relationship Type="http://schemas.openxmlformats.org/officeDocument/2006/relationships/worksheet" Target="/xl/worksheets/sheet7.xml" Id="Ra01ae031fdf747c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ColWidth="8.6796875" defaultRowHeight="15"/>
  <cols>
    <col min="1" max="1" width="26" hidden="0" customWidth="1"/>
    <col min="2" max="2" width="46" hidden="0" customWidth="1"/>
    <col min="3" max="3" width="14" hidden="0" customWidth="1"/>
    <col min="4" max="4" width="52" hidden="0" customWidth="1"/>
  </cols>
  <sheetData>
    <row r="1" ht="20.100000381469727" hidden="0">
      <c r="A1" s="1" t="s">
        <v>0</v>
      </c>
    </row>
    <row r="2" ht="15" hidden="0">
      <c r="A2" s="2" t="s">
        <v>1</v>
      </c>
    </row>
    <row r="4" ht="15" hidden="0">
      <c r="A4" s="3" t="s">
        <v>2</v>
      </c>
      <c r="B4" s="4"/>
    </row>
    <row r="5" ht="15" hidden="0">
      <c r="A5" s="5" t="s">
        <v>3</v>
      </c>
      <c r="B5" s="6" t="s">
        <v>4</v>
      </c>
    </row>
    <row r="6" ht="15" hidden="0">
      <c r="A6" s="7" t="s">
        <v>5</v>
      </c>
      <c r="B6" s="6" t="s">
        <v>6</v>
      </c>
    </row>
    <row r="7" ht="15" hidden="0">
      <c r="A7" s="2" t="s">
        <v>7</v>
      </c>
      <c r="B7" s="6" t="s">
        <v>8</v>
      </c>
    </row>
    <row r="8" ht="15" hidden="0">
      <c r="A8" s="7"/>
      <c r="B8" s="4"/>
    </row>
    <row r="9" ht="15" hidden="0">
      <c r="A9" s="3" t="s">
        <v>9</v>
      </c>
      <c r="B9" s="4"/>
    </row>
    <row r="10" ht="15" hidden="0">
      <c r="A10" s="7" t="s">
        <v>10</v>
      </c>
      <c r="B10" s="6" t="s">
        <v>11</v>
      </c>
    </row>
    <row r="11" ht="15" hidden="0">
      <c r="A11" s="7" t="s">
        <v>12</v>
      </c>
      <c r="B11" s="6" t="inlineStr">
        <is>
          <t>구현 스킬 15종 계산. SK15 비전 배리어 추가(2026-10-20)</t>
        </is>
      </c>
    </row>
    <row r="12" ht="29.850000381469727" hidden="0">
      <c r="A12" s="7" t="s">
        <v>13</v>
      </c>
      <c r="B12" s="6" t="s">
        <v>14</v>
      </c>
    </row>
    <row r="13" ht="15" hidden="0">
      <c r="A13" s="7" t="s">
        <v>15</v>
      </c>
      <c r="B13" s="6" t="str">
        <v>A·B·C·D 데이터. 전체 패턴·편성은 04 참조</v>
      </c>
    </row>
    <row r="14" ht="15" hidden="0">
      <c r="A14" s="7" t="s">
        <v>16</v>
      </c>
      <c r="B14" s="6" t="s">
        <v>17</v>
      </c>
    </row>
    <row r="17" ht="15" hidden="0">
      <c r="A17" s="3" t="str">
        <v>공용 가정 — 현재 프로토타입 계산</v>
      </c>
    </row>
    <row r="18" ht="31.5" hidden="0" customHeight="1">
      <c r="A18" s="8" t="s">
        <v>18</v>
      </c>
      <c r="B18" s="8" t="s">
        <v>19</v>
      </c>
      <c r="C18" s="8" t="s">
        <v>20</v>
      </c>
      <c r="D18" s="8" t="s">
        <v>21</v>
      </c>
    </row>
    <row r="19" ht="15" hidden="0">
      <c r="A19" s="9" t="s">
        <v>22</v>
      </c>
      <c r="B19" s="10" t="s">
        <v>23</v>
      </c>
      <c r="C19" s="11" t="n">
        <v>1.5</v>
      </c>
      <c r="D19" s="12" t="str">
        <v>10 A25·T21. 패시브 없는 기본값</v>
      </c>
    </row>
    <row r="20" ht="15" hidden="0">
      <c r="A20" s="9" t="s">
        <v>24</v>
      </c>
      <c r="B20" s="10" t="s">
        <v>25</v>
      </c>
      <c r="C20" s="11" t="n">
        <v>100</v>
      </c>
      <c r="D20" s="12" t="s">
        <v>26</v>
      </c>
    </row>
    <row r="21" ht="15" hidden="0">
      <c r="A21" s="9" t="s">
        <v>27</v>
      </c>
      <c r="B21" s="10" t="s">
        <v>28</v>
      </c>
      <c r="C21" s="11" t="n">
        <v>0</v>
      </c>
      <c r="D21" s="12" t="str">
        <v>현재 A·B·C 방어력 (10 N항)</v>
      </c>
    </row>
    <row r="22" ht="15" hidden="0">
      <c r="A22" s="9" t="s">
        <v>29</v>
      </c>
      <c r="B22" s="10" t="s">
        <v>30</v>
      </c>
      <c r="C22" s="13" t="n">
        <f aca="0">C21/(C21+C20)</f>
        <v>0</v>
      </c>
      <c r="D22" s="10" t="s">
        <v>31</v>
      </c>
    </row>
    <row r="23" ht="15" hidden="0">
      <c r="A23" s="9" t="s">
        <v>32</v>
      </c>
      <c r="B23" s="10" t="s">
        <v>33</v>
      </c>
      <c r="C23" s="11" t="n">
        <v>0.8</v>
      </c>
      <c r="D23" s="12" t="s">
        <v>26</v>
      </c>
    </row>
    <row r="24" ht="15" hidden="0">
      <c r="A24" s="9" t="s">
        <v>34</v>
      </c>
      <c r="B24" s="10" t="s">
        <v>35</v>
      </c>
      <c r="C24" s="11" t="n">
        <v>10</v>
      </c>
      <c r="D24" s="12" t="s">
        <v>26</v>
      </c>
    </row>
    <row r="25" ht="15" hidden="0">
      <c r="A25" s="9" t="s">
        <v>36</v>
      </c>
      <c r="B25" s="12"/>
      <c r="C25" s="11" t="n">
        <v>3</v>
      </c>
      <c r="D25" s="12" t="s">
        <v>26</v>
      </c>
    </row>
    <row r="26" ht="29.850000381469727" hidden="0">
      <c r="A26" s="9" t="s">
        <v>37</v>
      </c>
      <c r="B26" s="10" t="s">
        <v>38</v>
      </c>
      <c r="C26" s="11" t="n">
        <v>0.4</v>
      </c>
      <c r="D26" s="10" t="s">
        <v>39</v>
      </c>
    </row>
    <row r="27" ht="15" hidden="0">
      <c r="A27" s="9" t="s">
        <v>40</v>
      </c>
      <c r="B27" s="10" t="s">
        <v>41</v>
      </c>
      <c r="C27" s="11" t="n">
        <v>45</v>
      </c>
      <c r="D27" s="12" t="s">
        <v>26</v>
      </c>
    </row>
    <row r="28" ht="15" hidden="0">
      <c r="A28" s="9" t="s">
        <v>42</v>
      </c>
      <c r="B28" s="10" t="s">
        <v>41</v>
      </c>
      <c r="C28" s="11" t="n">
        <v>180</v>
      </c>
      <c r="D28" s="12" t="s">
        <v>26</v>
      </c>
    </row>
    <row r="29" ht="15" hidden="0">
      <c r="A29" s="9" t="str">
        <v>기본 포션 횟수</v>
      </c>
      <c r="B29" s="10" t="str">
        <v>최대 HP의 30%씩 회복</v>
      </c>
      <c r="C29" s="11" t="n">
        <v>3</v>
      </c>
      <c r="D29" s="10" t="str">
        <v>10 A46. 시작 3/3, PS01 최대치·현재 +1</v>
      </c>
    </row>
    <row r="30" ht="15" hidden="0">
      <c r="A30" s="9" t="s">
        <v>43</v>
      </c>
      <c r="B30" s="10" t="str">
        <v>튜토리얼 제외 A+B / C / A+B+C</v>
      </c>
      <c r="C30" s="11" t="n">
        <v>2</v>
      </c>
      <c r="D30" s="10" t="str">
        <v>(2+1+3)/3=2. 10 A32·A34</v>
      </c>
    </row>
    <row r="31" ht="15" hidden="0">
      <c r="A31" s="14" t="str">
        <v>수치 원본: Docs/10 결정 로그. 이 파일은 계산 도구이며 실측 결과와 구분합니다.</v>
      </c>
    </row>
    <row r="32" ht="15" hidden="0">
      <c r="A32" s="14" t="str">
        <v>2026-10-07: 포션 3/3·전투 구성·적 피해 갱신. 10 A32·A33·A38·A43·A46.</v>
      </c>
    </row>
  </sheetData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6" hidden="0" customWidth="1"/>
    <x:col min="2" max="3" width="10" hidden="0" customWidth="1"/>
    <x:col min="4" max="4" width="12" hidden="0" customWidth="1"/>
    <x:col min="5" max="5" width="15" hidden="0" customWidth="1"/>
    <x:col min="6" max="6" width="56" hidden="0" customWidth="1"/>
  </x:cols>
  <x:sheetData>
    <x:row r="1" ht="16.149999618530273" hidden="0">
      <x:c r="A1" s="15" t="s">
        <x:v>44</x:v>
      </x:c>
    </x:row>
    <x:row r="2" ht="15" hidden="0">
      <x:c r="A2" s="2" t="str">
        <x:v>현재 기본값. E열은 반올림 전 평균 배율, 실제 기대 피해는 스킬 J열.</x:v>
      </x:c>
    </x:row>
    <x:row r="4" ht="31.5" hidden="0" customHeight="1">
      <x:c r="A4" s="8" t="s">
        <x:v>45</x:v>
      </x:c>
      <x:c r="B4" s="16" t="s">
        <x:v>46</x:v>
      </x:c>
      <x:c r="C4" s="8" t="s">
        <x:v>47</x:v>
      </x:c>
      <x:c r="D4" s="8" t="str">
        <x:v>적용 크리율</x:v>
      </x:c>
      <x:c r="E4" s="8" t="s">
        <x:v>48</x:v>
      </x:c>
      <x:c r="F4" s="8" t="s">
        <x:v>49</x:v>
      </x:c>
    </x:row>
    <x:row r="5" ht="15" hidden="0" customHeight="1">
      <x:c r="A5" s="17" t="s">
        <x:v>50</x:v>
      </x:c>
      <x:c r="B5" s="17" t="n">
        <x:v>500</x:v>
      </x:c>
      <x:c r="C5" s="17" t="n">
        <x:v>20</x:v>
      </x:c>
      <x:c r="D5" s="18" t="n">
        <x:v>0.15</x:v>
      </x:c>
      <x:c r="E5" s="19" t="n">
        <x:f aca="0">IF(NOT(ISNUMBER(D5)),"",1+D5*('범례'!$C$19-1))</x:f>
        <x:v>1.075</x:v>
      </x:c>
      <x:c r="F5" s="34" t="str">
        <x:v>기본 크리율 15%. 패시브 제외, 10 A25·A28</x:v>
      </x:c>
    </x:row>
    <x:row r="6" ht="15" hidden="0">
      <x:c r="A6" s="17"/>
      <x:c r="B6" s="17"/>
      <x:c r="C6" s="17"/>
      <x:c r="D6" s="18"/>
      <x:c r="E6" s="19" t="str">
        <x:f aca="0">IF(NOT(ISNUMBER(D6)),"",1+D6*('범례'!$C$19-1))</x:f>
      </x:c>
      <x:c r="F6" s="20"/>
    </x:row>
    <x:row r="7" ht="15" hidden="0">
      <x:c r="A7" s="17"/>
      <x:c r="B7" s="17"/>
      <x:c r="C7" s="17"/>
      <x:c r="D7" s="18"/>
      <x:c r="E7" s="19" t="str">
        <x:f aca="0">IF(NOT(ISNUMBER(D7)),"",1+D7*('범례'!$C$19-1))</x:f>
      </x:c>
      <x:c r="F7" s="20"/>
    </x:row>
    <x:row r="9" ht="15" hidden="0">
      <x:c r="A9" s="21" t="s">
        <x:v>51</x:v>
      </x:c>
    </x:row>
    <x:row r="10" ht="15" hidden="0">
      <x:c r="A10" s="14" t="str">
        <x:v>공격력 없음. 타격·적마다 크리 판정 후 피해 반올림. 전체 피해는 각 타격 합산.</x:v>
      </x:c>
    </x:row>
  </x:sheetData>
  <x:pageMargins left="0.7" right="0.7" top="0.75" bottom="0.75" header="0.3" footer="0.3"/>
</x: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ColWidth="8.6796875" defaultRowHeight="15"/>
  <cols>
    <col min="1" max="1" width="8" hidden="0" customWidth="1"/>
    <col min="2" max="2" width="16" hidden="0" customWidth="1"/>
    <col min="3" max="3" width="12" hidden="0" customWidth="1"/>
    <col min="4" max="4" width="9" hidden="0" customWidth="1"/>
    <col min="5" max="5" width="12" hidden="0" customWidth="1"/>
    <col min="6" max="6" width="10" hidden="0" customWidth="1"/>
    <col min="7" max="7" width="8" hidden="0" customWidth="1"/>
    <col min="8" max="8" width="7" hidden="0" customWidth="1"/>
    <col min="9" max="9" width="10" hidden="0" customWidth="1"/>
    <col min="10" max="13" width="14" hidden="0" customWidth="1"/>
    <col min="14" max="14" width="13" hidden="0" customWidth="1"/>
    <col min="15" max="15" width="12" hidden="0" customWidth="1"/>
    <col min="16" max="16" width="10" hidden="0" customWidth="1"/>
    <col min="17" max="17" width="42" hidden="0" customWidth="1"/>
    <col min="18" max="19" width="13" hidden="0" customWidth="1"/>
    <col min="20" max="20" width="20" hidden="0" customWidth="1"/>
  </cols>
  <sheetData>
    <row r="1" ht="20.100000381469727" hidden="0">
      <c r="A1" s="15" t="inlineStr">
        <is>
          <t>스킬 풀 밸런스 (15종)</t>
        </is>
      </c>
    </row>
    <row r="2" ht="15" hidden="0">
      <c r="A2" s="2" t="inlineStr">
        <is>
          <t>현재 구현 15종. SK15 비전 배리어 추가(2026-10-20). 패시브·과잉 피해·시전 취소 제외.</t>
        </is>
      </c>
    </row>
    <row r="4" ht="31.5" hidden="0" customHeight="1">
      <c r="A4" s="16" t="s">
        <v>53</v>
      </c>
      <c r="B4" s="8" t="s">
        <v>54</v>
      </c>
      <c r="C4" s="8" t="s">
        <v>55</v>
      </c>
      <c r="D4" s="8" t="s">
        <v>56</v>
      </c>
      <c r="E4" s="8" t="str">
        <v>시전/채널(초)</v>
      </c>
      <c r="F4" s="8" t="s">
        <v>57</v>
      </c>
      <c r="G4" s="8" t="str">
        <v>1타 피해</v>
      </c>
      <c r="H4" s="8" t="s">
        <v>58</v>
      </c>
      <c r="I4" s="8" t="s">
        <v>59</v>
      </c>
      <c r="J4" s="8" t="s">
        <v>60</v>
      </c>
      <c r="K4" s="8" t="s">
        <v>61</v>
      </c>
      <c r="L4" s="8" t="str">
        <v>코스트당 (1체)</v>
      </c>
      <c r="M4" s="8" t="s">
        <v>62</v>
      </c>
      <c r="N4" s="8" t="s">
        <v>63</v>
      </c>
      <c r="O4" s="8" t="s">
        <v>64</v>
      </c>
      <c r="P4" s="8" t="s">
        <v>65</v>
      </c>
      <c r="Q4" s="8" t="str">
        <v>구현·발동 방식</v>
      </c>
      <c r="R4" s="8" t="s">
        <v>66</v>
      </c>
      <c r="S4" s="8" t="s">
        <v>67</v>
      </c>
      <c r="T4" s="8" t="str">
        <v>마지막 추가 피해</v>
      </c>
    </row>
    <row r="5" ht="15" hidden="0">
      <c r="A5" s="11" t="str">
        <v>SK01</v>
      </c>
      <c r="B5" s="17" t="str">
        <v>파이어볼</v>
      </c>
      <c r="C5" s="17" t="str">
        <v>딜/단일</v>
      </c>
      <c r="D5" s="17" t="n">
        <v>1</v>
      </c>
      <c r="E5" s="17" t="n">
        <v>0</v>
      </c>
      <c r="F5" s="22" t="n">
        <f aca="0">IF(NOT(ISNUMBER(E5)),"",MAX(E5,'범례'!$C$26))</f>
        <v>0.4</v>
      </c>
      <c r="G5" s="17" t="n">
        <v>30</v>
      </c>
      <c r="H5" s="17" t="n">
        <v>1</v>
      </c>
      <c r="I5" s="19" t="n">
        <f aca="0">IF(OR(NOT(ISNUMBER(G5)),NOT(ISNUMBER(H5))),"",G5*MAX(1,H5)+T5)</f>
        <v>30</v>
      </c>
      <c r="J5" s="41" t="n">
        <f aca="0">IF(OR(NOT(ISNUMBER(G5)),NOT(ISNUMBER(H5))),"",IF(G5&lt;=0,0,((1-'직업'!$D$5)*MAX(1,INT(G5*'범례'!$C$20/('범례'!$C$21+'범례'!$C$20)+0.5))+'직업'!$D$5*MAX(1,INT(G5*'범례'!$C$20/('범례'!$C$21+'범례'!$C$20)*'범례'!$C$19+0.5)))*(MAX(1,H5)-1)+((1-'직업'!$D$5)*MAX(1,INT((G5+T5)*'범례'!$C$20/('범례'!$C$21+'범례'!$C$20)+0.5))+'직업'!$D$5*MAX(1,INT((G5+T5)*'범례'!$C$20/('범례'!$C$21+'범례'!$C$20)*'범례'!$C$19+0.5)))))</f>
        <v>32.25</v>
      </c>
      <c r="K5" s="41" t="n">
        <f aca="0">IF(NOT(ISNUMBER(J5)),"",J5*IF(ISNUMBER(SEARCH("광역",$C5)),'범례'!$C$30,1))</f>
        <v>32.25</v>
      </c>
      <c r="L5" s="22" t="n">
        <f aca="0">IF(OR(NOT(ISNUMBER(J5)),NOT(ISNUMBER(D5)),D5=0),"",J5/D5)</f>
        <v>32.25</v>
      </c>
      <c r="M5" s="22" t="n">
        <f aca="0">IF(OR(NOT(ISNUMBER(K5)),NOT(ISNUMBER(D5)),D5=0),"",K5/D5)</f>
        <v>32.25</v>
      </c>
      <c r="N5" s="22" t="n">
        <f aca="0">IF(OR(NOT(ISNUMBER(K5)),NOT(ISNUMBER(F5)),F5=0),"",K5/F5)</f>
        <v>80.625</v>
      </c>
      <c r="O5" s="17" t="n">
        <v>0</v>
      </c>
      <c r="P5" s="17" t="n">
        <v>0</v>
      </c>
      <c r="Q5" s="20" t="str">
        <v>시작 덱. 일반 시전</v>
      </c>
      <c r="R5" s="22" t="n">
        <f aca="0">IF(AND(LEFT($C5,1)="딜",ISNUMBER(M5)),M5,"")</f>
        <v>32.25</v>
      </c>
      <c r="S5" s="22" t="n">
        <f aca="0">IF(AND(LEFT($C5,1)="딜",ISNUMBER(N5)),N5,"")</f>
        <v>80.625</v>
      </c>
      <c r="T5" s="17" t="n">
        <v>0</v>
      </c>
    </row>
    <row r="6" ht="15" hidden="0">
      <c r="A6" s="11" t="str">
        <v>SK02</v>
      </c>
      <c r="B6" s="17" t="str">
        <v>아이스애로우</v>
      </c>
      <c r="C6" s="17" t="str">
        <v>딜/단일</v>
      </c>
      <c r="D6" s="17" t="n">
        <v>5</v>
      </c>
      <c r="E6" s="17" t="n">
        <v>2.8</v>
      </c>
      <c r="F6" s="22" t="n">
        <f aca="0">IF(NOT(ISNUMBER(E6)),"",MAX(E6,'범례'!$C$26))</f>
        <v>2.8</v>
      </c>
      <c r="G6" s="17" t="n">
        <v>35</v>
      </c>
      <c r="H6" s="17" t="n">
        <v>5</v>
      </c>
      <c r="I6" s="19" t="n">
        <f aca="0">IF(OR(NOT(ISNUMBER(G6)),NOT(ISNUMBER(H6))),"",G6*MAX(1,H6)+T6)</f>
        <v>175</v>
      </c>
      <c r="J6" s="41" t="n">
        <f aca="0">IF(OR(NOT(ISNUMBER(G6)),NOT(ISNUMBER(H6))),"",IF(G6&lt;=0,0,((1-'직업'!$D$5)*MAX(1,INT(G6*'범례'!$C$20/('범례'!$C$21+'범례'!$C$20)+0.5))+'직업'!$D$5*MAX(1,INT(G6*'범례'!$C$20/('범례'!$C$21+'범례'!$C$20)*'범례'!$C$19+0.5)))*(MAX(1,H6)-1)+((1-'직업'!$D$5)*MAX(1,INT((G6+T6)*'범례'!$C$20/('범례'!$C$21+'범례'!$C$20)+0.5))+'직업'!$D$5*MAX(1,INT((G6+T6)*'범례'!$C$20/('범례'!$C$21+'범례'!$C$20)*'범례'!$C$19+0.5)))))</f>
        <v>188.5</v>
      </c>
      <c r="K6" s="41" t="n">
        <f aca="0">IF(NOT(ISNUMBER(J6)),"",J6*IF(ISNUMBER(SEARCH("광역",$C6)),'범례'!$C$30,1))</f>
        <v>188.5</v>
      </c>
      <c r="L6" s="22" t="n">
        <f aca="0">IF(OR(NOT(ISNUMBER(J6)),NOT(ISNUMBER(D6)),D6=0),"",J6/D6)</f>
        <v>37.7</v>
      </c>
      <c r="M6" s="22" t="n">
        <f aca="0">IF(OR(NOT(ISNUMBER(K6)),NOT(ISNUMBER(D6)),D6=0),"",K6/D6)</f>
        <v>37.7</v>
      </c>
      <c r="N6" s="22" t="n">
        <f aca="0">IF(OR(NOT(ISNUMBER(K6)),NOT(ISNUMBER(F6)),F6=0),"",K6/F6)</f>
        <v>67.32142857142857</v>
      </c>
      <c r="O6" s="17" t="n">
        <v>0</v>
      </c>
      <c r="P6" s="17" t="n">
        <v>0</v>
      </c>
      <c r="Q6" s="24" t="str">
        <v>시작 덱. 채널링 0.5초마다, 사망 후딜 0.3초</v>
      </c>
      <c r="R6" s="22" t="n">
        <f aca="0">IF(AND(LEFT($C6,1)="딜",ISNUMBER(M6)),M6,"")</f>
        <v>37.7</v>
      </c>
      <c r="S6" s="22" t="n">
        <f aca="0">IF(AND(LEFT($C6,1)="딜",ISNUMBER(N6)),N6,"")</f>
        <v>67.32142857142857</v>
      </c>
      <c r="T6" s="17" t="n">
        <v>0</v>
      </c>
    </row>
    <row r="7" ht="15" hidden="0">
      <c r="A7" s="11" t="str">
        <v>SK03</v>
      </c>
      <c r="B7" s="17" t="str">
        <v>매직 커터</v>
      </c>
      <c r="C7" s="17" t="str">
        <v>딜/단일</v>
      </c>
      <c r="D7" s="17" t="n">
        <v>2</v>
      </c>
      <c r="E7" s="17" t="n">
        <v>0</v>
      </c>
      <c r="F7" s="22" t="n">
        <f aca="0">IF(NOT(ISNUMBER(E7)),"",MAX(E7,'범례'!$C$26))</f>
        <v>0.4</v>
      </c>
      <c r="G7" s="17" t="n">
        <v>30</v>
      </c>
      <c r="H7" s="17" t="n">
        <v>2</v>
      </c>
      <c r="I7" s="19" t="n">
        <f aca="0">IF(OR(NOT(ISNUMBER(G7)),NOT(ISNUMBER(H7))),"",G7*MAX(1,H7)+T7)</f>
        <v>60</v>
      </c>
      <c r="J7" s="41" t="n">
        <f aca="0">IF(OR(NOT(ISNUMBER(G7)),NOT(ISNUMBER(H7))),"",IF(G7&lt;=0,0,((1-'직업'!$D$5)*MAX(1,INT(G7*'범례'!$C$20/('범례'!$C$21+'범례'!$C$20)+0.5))+'직업'!$D$5*MAX(1,INT(G7*'범례'!$C$20/('범례'!$C$21+'범례'!$C$20)*'범례'!$C$19+0.5)))*(MAX(1,H7)-1)+((1-'직업'!$D$5)*MAX(1,INT((G7+T7)*'범례'!$C$20/('범례'!$C$21+'범례'!$C$20)+0.5))+'직업'!$D$5*MAX(1,INT((G7+T7)*'범례'!$C$20/('범례'!$C$21+'범례'!$C$20)*'범례'!$C$19+0.5)))))</f>
        <v>64.5</v>
      </c>
      <c r="K7" s="41" t="n">
        <f aca="0">IF(NOT(ISNUMBER(J7)),"",J7*IF(ISNUMBER(SEARCH("광역",$C7)),'범례'!$C$30,1))</f>
        <v>64.5</v>
      </c>
      <c r="L7" s="22" t="n">
        <f aca="0">IF(OR(NOT(ISNUMBER(J7)),NOT(ISNUMBER(D7)),D7=0),"",J7/D7)</f>
        <v>32.25</v>
      </c>
      <c r="M7" s="22" t="n">
        <f aca="0">IF(OR(NOT(ISNUMBER(K7)),NOT(ISNUMBER(D7)),D7=0),"",K7/D7)</f>
        <v>32.25</v>
      </c>
      <c r="N7" s="22" t="n">
        <f aca="0">IF(OR(NOT(ISNUMBER(K7)),NOT(ISNUMBER(F7)),F7=0),"",K7/F7)</f>
        <v>161.25</v>
      </c>
      <c r="O7" s="17" t="n">
        <v>0</v>
      </c>
      <c r="P7" s="17" t="n">
        <v>0</v>
      </c>
      <c r="Q7" s="24" t="str">
        <v>시작 덱. 일반 시전</v>
      </c>
      <c r="R7" s="22" t="n">
        <f aca="0">IF(AND(LEFT($C7,1)="딜",ISNUMBER(M7)),M7,"")</f>
        <v>32.25</v>
      </c>
      <c r="S7" s="22" t="n">
        <f aca="0">IF(AND(LEFT($C7,1)="딜",ISNUMBER(N7)),N7,"")</f>
        <v>161.25</v>
      </c>
      <c r="T7" s="17" t="n">
        <v>0</v>
      </c>
    </row>
    <row r="8" ht="15" hidden="0">
      <c r="A8" s="11" t="str">
        <v>SK04</v>
      </c>
      <c r="B8" s="17" t="str">
        <v>파이어 필라</v>
      </c>
      <c r="C8" s="17" t="str">
        <v>딜/광역</v>
      </c>
      <c r="D8" s="17" t="n">
        <v>4</v>
      </c>
      <c r="E8" s="17" t="n">
        <v>1</v>
      </c>
      <c r="F8" s="22" t="n">
        <f aca="0">IF(NOT(ISNUMBER(E8)),"",MAX(E8,'범례'!$C$26))</f>
        <v>1</v>
      </c>
      <c r="G8" s="17" t="n">
        <v>90</v>
      </c>
      <c r="H8" s="17" t="n">
        <v>1</v>
      </c>
      <c r="I8" s="19" t="n">
        <f aca="0">IF(OR(NOT(ISNUMBER(G8)),NOT(ISNUMBER(H8))),"",G8*MAX(1,H8)+T8)</f>
        <v>90</v>
      </c>
      <c r="J8" s="41" t="n">
        <f aca="0">IF(OR(NOT(ISNUMBER(G8)),NOT(ISNUMBER(H8))),"",IF(G8&lt;=0,0,((1-'직업'!$D$5)*MAX(1,INT(G8*'범례'!$C$20/('범례'!$C$21+'범례'!$C$20)+0.5))+'직업'!$D$5*MAX(1,INT(G8*'범례'!$C$20/('범례'!$C$21+'범례'!$C$20)*'범례'!$C$19+0.5)))*(MAX(1,H8)-1)+((1-'직업'!$D$5)*MAX(1,INT((G8+T8)*'범례'!$C$20/('범례'!$C$21+'범례'!$C$20)+0.5))+'직업'!$D$5*MAX(1,INT((G8+T8)*'범례'!$C$20/('범례'!$C$21+'범례'!$C$20)*'범례'!$C$19+0.5)))))</f>
        <v>96.75</v>
      </c>
      <c r="K8" s="41" t="n">
        <f aca="0">IF(NOT(ISNUMBER(J8)),"",J8*IF(ISNUMBER(SEARCH("광역",$C8)),'범례'!$C$30,1))</f>
        <v>193.5</v>
      </c>
      <c r="L8" s="22" t="n">
        <f aca="0">IF(OR(NOT(ISNUMBER(J8)),NOT(ISNUMBER(D8)),D8=0),"",J8/D8)</f>
        <v>24.1875</v>
      </c>
      <c r="M8" s="22" t="n">
        <f aca="0">IF(OR(NOT(ISNUMBER(K8)),NOT(ISNUMBER(D8)),D8=0),"",K8/D8)</f>
        <v>48.375</v>
      </c>
      <c r="N8" s="22" t="n">
        <f aca="0">IF(OR(NOT(ISNUMBER(K8)),NOT(ISNUMBER(F8)),F8=0),"",K8/F8)</f>
        <v>193.5</v>
      </c>
      <c r="O8" s="17" t="n">
        <v>0</v>
      </c>
      <c r="P8" s="17" t="n">
        <v>0</v>
      </c>
      <c r="Q8" s="24" t="str">
        <v>시작 덱. 일반 시전</v>
      </c>
      <c r="R8" s="22" t="n">
        <f aca="0">IF(AND(LEFT($C8,1)="딜",ISNUMBER(M8)),M8,"")</f>
        <v>48.375</v>
      </c>
      <c r="S8" s="22" t="n">
        <f aca="0">IF(AND(LEFT($C8,1)="딜",ISNUMBER(N8)),N8,"")</f>
        <v>193.5</v>
      </c>
      <c r="T8" s="17" t="n">
        <v>0</v>
      </c>
    </row>
    <row r="9" ht="15" hidden="0">
      <c r="A9" s="11" t="str">
        <v>SK05</v>
      </c>
      <c r="B9" s="17" t="str">
        <v>라이트닝 스피어</v>
      </c>
      <c r="C9" s="17" t="str">
        <v>딜/단일</v>
      </c>
      <c r="D9" s="17" t="n">
        <v>4</v>
      </c>
      <c r="E9" s="17" t="n">
        <v>0.8</v>
      </c>
      <c r="F9" s="22" t="n">
        <f aca="0">IF(NOT(ISNUMBER(E9)),"",MAX(E9,'범례'!$C$26))</f>
        <v>0.8</v>
      </c>
      <c r="G9" s="17" t="n">
        <v>135</v>
      </c>
      <c r="H9" s="17" t="n">
        <v>1</v>
      </c>
      <c r="I9" s="19" t="n">
        <f aca="0">IF(OR(NOT(ISNUMBER(G9)),NOT(ISNUMBER(H9))),"",G9*MAX(1,H9)+T9)</f>
        <v>135</v>
      </c>
      <c r="J9" s="41" t="n">
        <f aca="0">IF(OR(NOT(ISNUMBER(G9)),NOT(ISNUMBER(H9))),"",IF(G9&lt;=0,0,((1-'직업'!$D$5)*MAX(1,INT(G9*'범례'!$C$20/('범례'!$C$21+'범례'!$C$20)+0.5))+'직업'!$D$5*MAX(1,INT(G9*'범례'!$C$20/('범례'!$C$21+'범례'!$C$20)*'범례'!$C$19+0.5)))*(MAX(1,H9)-1)+((1-'직업'!$D$5)*MAX(1,INT((G9+T9)*'범례'!$C$20/('범례'!$C$21+'범례'!$C$20)+0.5))+'직업'!$D$5*MAX(1,INT((G9+T9)*'범례'!$C$20/('범례'!$C$21+'범례'!$C$20)*'범례'!$C$19+0.5)))))</f>
        <v>145.2</v>
      </c>
      <c r="K9" s="41" t="n">
        <f aca="0">IF(NOT(ISNUMBER(J9)),"",J9*IF(ISNUMBER(SEARCH("광역",$C9)),'범례'!$C$30,1))</f>
        <v>145.2</v>
      </c>
      <c r="L9" s="22" t="n">
        <f aca="0">IF(OR(NOT(ISNUMBER(J9)),NOT(ISNUMBER(D9)),D9=0),"",J9/D9)</f>
        <v>36.3</v>
      </c>
      <c r="M9" s="22" t="n">
        <f aca="0">IF(OR(NOT(ISNUMBER(K9)),NOT(ISNUMBER(D9)),D9=0),"",K9/D9)</f>
        <v>36.3</v>
      </c>
      <c r="N9" s="22" t="n">
        <f aca="0">IF(OR(NOT(ISNUMBER(K9)),NOT(ISNUMBER(F9)),F9=0),"",K9/F9)</f>
        <v>181.49999999999997</v>
      </c>
      <c r="O9" s="17" t="n">
        <v>0</v>
      </c>
      <c r="P9" s="17" t="n">
        <v>0</v>
      </c>
      <c r="Q9" s="24" t="str">
        <v>시작 덱. 일반 시전</v>
      </c>
      <c r="R9" s="22" t="n">
        <f aca="0">IF(AND(LEFT($C9,1)="딜",ISNUMBER(M9)),M9,"")</f>
        <v>36.3</v>
      </c>
      <c r="S9" s="22" t="n">
        <f aca="0">IF(AND(LEFT($C9,1)="딜",ISNUMBER(N9)),N9,"")</f>
        <v>181.49999999999997</v>
      </c>
      <c r="T9" s="17" t="n">
        <v>0</v>
      </c>
    </row>
    <row r="10" ht="15" hidden="0">
      <c r="A10" s="11" t="str">
        <v>SK06</v>
      </c>
      <c r="B10" s="17" t="str">
        <v>매직 스파크</v>
      </c>
      <c r="C10" s="17" t="str">
        <v>딜/광역</v>
      </c>
      <c r="D10" s="17" t="n">
        <v>3</v>
      </c>
      <c r="E10" s="17" t="n">
        <v>2.2</v>
      </c>
      <c r="F10" s="22" t="n">
        <f aca="0">IF(NOT(ISNUMBER(E10)),"",MAX(E10,'범례'!$C$26))</f>
        <v>2.2</v>
      </c>
      <c r="G10" s="17" t="n">
        <v>10</v>
      </c>
      <c r="H10" s="17" t="n">
        <v>8</v>
      </c>
      <c r="I10" s="19" t="n">
        <f aca="0">IF(OR(NOT(ISNUMBER(G10)),NOT(ISNUMBER(H10))),"",G10*MAX(1,H10)+T10)</f>
        <v>80</v>
      </c>
      <c r="J10" s="41" t="n">
        <f aca="0">IF(OR(NOT(ISNUMBER(G10)),NOT(ISNUMBER(H10))),"",IF(G10&lt;=0,0,((1-'직업'!$D$5)*MAX(1,INT(G10*'범례'!$C$20/('범례'!$C$21+'범례'!$C$20)+0.5))+'직업'!$D$5*MAX(1,INT(G10*'범례'!$C$20/('범례'!$C$21+'범례'!$C$20)*'범례'!$C$19+0.5)))*(MAX(1,H10)-1)+((1-'직업'!$D$5)*MAX(1,INT((G10+T10)*'범례'!$C$20/('범례'!$C$21+'범례'!$C$20)+0.5))+'직업'!$D$5*MAX(1,INT((G10+T10)*'범례'!$C$20/('범례'!$C$21+'범례'!$C$20)*'범례'!$C$19+0.5)))))</f>
        <v>86</v>
      </c>
      <c r="K10" s="41" t="n">
        <f aca="0">IF(NOT(ISNUMBER(J10)),"",J10*IF(ISNUMBER(SEARCH("광역",$C10)),'범례'!$C$30,1))</f>
        <v>172</v>
      </c>
      <c r="L10" s="22" t="n">
        <f aca="0">IF(OR(NOT(ISNUMBER(J10)),NOT(ISNUMBER(D10)),D10=0),"",J10/D10)</f>
        <v>28.666666666666668</v>
      </c>
      <c r="M10" s="22" t="n">
        <f aca="0">IF(OR(NOT(ISNUMBER(K10)),NOT(ISNUMBER(D10)),D10=0),"",K10/D10)</f>
        <v>57.333333333333336</v>
      </c>
      <c r="N10" s="22" t="n">
        <f aca="0">IF(OR(NOT(ISNUMBER(K10)),NOT(ISNUMBER(F10)),F10=0),"",K10/F10)</f>
        <v>78.18181818181817</v>
      </c>
      <c r="O10" s="17" t="n">
        <v>0</v>
      </c>
      <c r="P10" s="17" t="n">
        <v>0</v>
      </c>
      <c r="Q10" s="24" t="str">
        <v>시작 덱. 채널링 0.25초마다</v>
      </c>
      <c r="R10" s="22" t="n">
        <f aca="0">IF(AND(LEFT($C10,1)="딜",ISNUMBER(M10)),M10,"")</f>
        <v>57.333333333333336</v>
      </c>
      <c r="S10" s="22" t="n">
        <f aca="0">IF(AND(LEFT($C10,1)="딜",ISNUMBER(N10)),N10,"")</f>
        <v>78.18181818181817</v>
      </c>
      <c r="T10" s="17" t="n">
        <v>0</v>
      </c>
    </row>
    <row r="11" ht="15" hidden="0">
      <c r="A11" s="11" t="str">
        <v>SK07</v>
      </c>
      <c r="B11" s="17" t="str">
        <v>매직 임팩트</v>
      </c>
      <c r="C11" s="17" t="str">
        <v>딜/단일</v>
      </c>
      <c r="D11" s="17" t="n">
        <v>3</v>
      </c>
      <c r="E11" s="17" t="n">
        <v>0</v>
      </c>
      <c r="F11" s="22" t="n">
        <f aca="0">IF(NOT(ISNUMBER(E11)),"",MAX(E11,'범례'!$C$26))</f>
        <v>0.4</v>
      </c>
      <c r="G11" s="17" t="n">
        <v>40</v>
      </c>
      <c r="H11" s="17" t="n">
        <v>3</v>
      </c>
      <c r="I11" s="19" t="n">
        <f aca="0">IF(OR(NOT(ISNUMBER(G11)),NOT(ISNUMBER(H11))),"",G11*MAX(1,H11)+T11)</f>
        <v>130</v>
      </c>
      <c r="J11" s="41" t="n">
        <f aca="0">IF(OR(NOT(ISNUMBER(G11)),NOT(ISNUMBER(H11))),"",IF(G11&lt;=0,0,((1-'직업'!$D$5)*MAX(1,INT(G11*'범례'!$C$20/('범례'!$C$21+'범례'!$C$20)+0.5))+'직업'!$D$5*MAX(1,INT(G11*'범례'!$C$20/('범례'!$C$21+'범례'!$C$20)*'범례'!$C$19+0.5)))*(MAX(1,H11)-1)+((1-'직업'!$D$5)*MAX(1,INT((G11+T11)*'범례'!$C$20/('범례'!$C$21+'범례'!$C$20)+0.5))+'직업'!$D$5*MAX(1,INT((G11+T11)*'범례'!$C$20/('범례'!$C$21+'범례'!$C$20)*'범례'!$C$19+0.5)))))</f>
        <v>139.75</v>
      </c>
      <c r="K11" s="41" t="n">
        <f aca="0">IF(NOT(ISNUMBER(J11)),"",J11*IF(ISNUMBER(SEARCH("광역",$C11)),'범례'!$C$30,1))</f>
        <v>139.75</v>
      </c>
      <c r="L11" s="22" t="n">
        <f aca="0">IF(OR(NOT(ISNUMBER(J11)),NOT(ISNUMBER(D11)),D11=0),"",J11/D11)</f>
        <v>46.583333333333336</v>
      </c>
      <c r="M11" s="22" t="n">
        <f aca="0">IF(OR(NOT(ISNUMBER(K11)),NOT(ISNUMBER(D11)),D11=0),"",K11/D11)</f>
        <v>46.583333333333336</v>
      </c>
      <c r="N11" s="22" t="n">
        <f aca="0">IF(OR(NOT(ISNUMBER(K11)),NOT(ISNUMBER(F11)),F11=0),"",K11/F11)</f>
        <v>349.375</v>
      </c>
      <c r="O11" s="17" t="n">
        <v>0</v>
      </c>
      <c r="P11" s="17" t="n">
        <v>0</v>
      </c>
      <c r="Q11" s="24" t="str">
        <v>보상. 일반 시전</v>
      </c>
      <c r="R11" s="22" t="n">
        <f aca="0">IF(AND(LEFT($C11,1)="딜",ISNUMBER(M11)),M11,"")</f>
        <v>46.583333333333336</v>
      </c>
      <c r="S11" s="22" t="n">
        <f aca="0">IF(AND(LEFT($C11,1)="딜",ISNUMBER(N11)),N11,"")</f>
        <v>349.375</v>
      </c>
      <c r="T11" s="17" t="n">
        <v>10</v>
      </c>
    </row>
    <row r="12" ht="15" hidden="0">
      <c r="A12" s="11" t="str">
        <v>SK08</v>
      </c>
      <c r="B12" s="17" t="str">
        <v>저지먼트</v>
      </c>
      <c r="C12" s="17" t="str">
        <v>딜/단일</v>
      </c>
      <c r="D12" s="17" t="n">
        <v>7</v>
      </c>
      <c r="E12" s="17" t="n">
        <v>2.75</v>
      </c>
      <c r="F12" s="41" t="n">
        <f aca="0">IF(NOT(ISNUMBER(E12)),"",MAX(E12,'범례'!$C$26))</f>
        <v>2.75</v>
      </c>
      <c r="G12" s="17" t="n">
        <v>365</v>
      </c>
      <c r="H12" s="17" t="n">
        <v>1</v>
      </c>
      <c r="I12" s="19" t="n">
        <f aca="0">IF(OR(NOT(ISNUMBER(G12)),NOT(ISNUMBER(H12))),"",G12*MAX(1,H12)+T12)</f>
        <v>365</v>
      </c>
      <c r="J12" s="41" t="n">
        <f aca="0">IF(OR(NOT(ISNUMBER(G12)),NOT(ISNUMBER(H12))),"",IF(G12&lt;=0,0,((1-'직업'!$D$5)*MAX(1,INT(G12*'범례'!$C$20/('범례'!$C$21+'범례'!$C$20)+0.5))+'직업'!$D$5*MAX(1,INT(G12*'범례'!$C$20/('범례'!$C$21+'범례'!$C$20)*'범례'!$C$19+0.5)))*(MAX(1,H12)-1)+((1-'직업'!$D$5)*MAX(1,INT((G12+T12)*'범례'!$C$20/('범례'!$C$21+'범례'!$C$20)+0.5))+'직업'!$D$5*MAX(1,INT((G12+T12)*'범례'!$C$20/('범례'!$C$21+'범례'!$C$20)*'범례'!$C$19+0.5)))))</f>
        <v>392.45</v>
      </c>
      <c r="K12" s="41" t="n">
        <f aca="0">IF(NOT(ISNUMBER(J12)),"",J12*IF(ISNUMBER(SEARCH("광역",$C12)),'범례'!$C$30,1))</f>
        <v>392.45</v>
      </c>
      <c r="L12" s="22" t="n">
        <f aca="0">IF(OR(NOT(ISNUMBER(J12)),NOT(ISNUMBER(D12)),D12=0),"",J12/D12)</f>
        <v>56.06428571428571</v>
      </c>
      <c r="M12" s="22" t="n">
        <f aca="0">IF(OR(NOT(ISNUMBER(K12)),NOT(ISNUMBER(D12)),D12=0),"",K12/D12)</f>
        <v>56.06428571428571</v>
      </c>
      <c r="N12" s="22" t="n">
        <f aca="0">IF(OR(NOT(ISNUMBER(K12)),NOT(ISNUMBER(F12)),F12=0),"",K12/F12)</f>
        <v>142.70909090909092</v>
      </c>
      <c r="O12" s="17" t="n">
        <v>0</v>
      </c>
      <c r="P12" s="17" t="n">
        <v>0</v>
      </c>
      <c r="Q12" s="24" t="str">
        <v>보상. 일반 시전</v>
      </c>
      <c r="R12" s="22" t="n">
        <f aca="0">IF(AND(LEFT($C12,1)="딜",ISNUMBER(M12)),M12,"")</f>
        <v>56.06428571428571</v>
      </c>
      <c r="S12" s="22" t="n">
        <f aca="0">IF(AND(LEFT($C12,1)="딜",ISNUMBER(N12)),N12,"")</f>
        <v>142.70909090909092</v>
      </c>
      <c r="T12" s="17" t="n">
        <v>0</v>
      </c>
    </row>
    <row r="13" ht="15" hidden="0">
      <c r="A13" s="17" t="str">
        <v>SK09</v>
      </c>
      <c r="B13" s="17" t="str">
        <v>블리자드</v>
      </c>
      <c r="C13" s="17" t="str">
        <v>딜/광역</v>
      </c>
      <c r="D13" s="17" t="n">
        <v>5</v>
      </c>
      <c r="E13" s="17" t="n">
        <v>1</v>
      </c>
      <c r="F13" s="22" t="n">
        <f aca="0">IF(NOT(ISNUMBER(E13)),"",MAX(E13,'범례'!$C$26))</f>
        <v>1</v>
      </c>
      <c r="G13" s="17" t="n">
        <v>30</v>
      </c>
      <c r="H13" s="17" t="n">
        <v>4</v>
      </c>
      <c r="I13" s="19" t="n">
        <f aca="0">IF(OR(NOT(ISNUMBER(G13)),NOT(ISNUMBER(H13))),"",G13*MAX(1,H13)+T13)</f>
        <v>120</v>
      </c>
      <c r="J13" s="41" t="n">
        <f aca="0">IF(OR(NOT(ISNUMBER(G13)),NOT(ISNUMBER(H13))),"",IF(G13&lt;=0,0,((1-'직업'!$D$5)*MAX(1,INT(G13*'범례'!$C$20/('범례'!$C$21+'범례'!$C$20)+0.5))+'직업'!$D$5*MAX(1,INT(G13*'범례'!$C$20/('범례'!$C$21+'범례'!$C$20)*'범례'!$C$19+0.5)))*(MAX(1,H13)-1)+((1-'직업'!$D$5)*MAX(1,INT((G13+T13)*'범례'!$C$20/('범례'!$C$21+'범례'!$C$20)+0.5))+'직업'!$D$5*MAX(1,INT((G13+T13)*'범례'!$C$20/('범례'!$C$21+'범례'!$C$20)*'범례'!$C$19+0.5)))))</f>
        <v>129</v>
      </c>
      <c r="K13" s="41" t="n">
        <f aca="0">IF(NOT(ISNUMBER(J13)),"",J13*IF(ISNUMBER(SEARCH("광역",$C13)),'범례'!$C$30,1))</f>
        <v>258</v>
      </c>
      <c r="L13" s="22" t="n">
        <f aca="0">IF(OR(NOT(ISNUMBER(J13)),NOT(ISNUMBER(D13)),D13=0),"",J13/D13)</f>
        <v>25.8</v>
      </c>
      <c r="M13" s="22" t="n">
        <f aca="0">IF(OR(NOT(ISNUMBER(K13)),NOT(ISNUMBER(D13)),D13=0),"",K13/D13)</f>
        <v>51.6</v>
      </c>
      <c r="N13" s="22" t="n">
        <f aca="0">IF(OR(NOT(ISNUMBER(K13)),NOT(ISNUMBER(F13)),F13=0),"",K13/F13)</f>
        <v>258</v>
      </c>
      <c r="O13" s="17" t="n">
        <v>0</v>
      </c>
      <c r="P13" s="17" t="n">
        <v>0</v>
      </c>
      <c r="Q13" s="20" t="str">
        <v>보상. 일반 시전, 광역</v>
      </c>
      <c r="R13" s="22" t="n">
        <f aca="0">IF(AND(LEFT($C13,1)="딜",ISNUMBER(M13)),M13,"")</f>
        <v>51.6</v>
      </c>
      <c r="S13" s="22" t="n">
        <f aca="0">IF(AND(LEFT($C13,1)="딜",ISNUMBER(N13)),N13,"")</f>
        <v>258</v>
      </c>
      <c r="T13" s="17" t="n">
        <v>0</v>
      </c>
    </row>
    <row r="14" ht="15" hidden="0">
      <c r="A14" s="17" t="str">
        <v>SK10</v>
      </c>
      <c r="B14" s="17" t="str">
        <v>다크 이럽션</v>
      </c>
      <c r="C14" s="17" t="str">
        <v>딜/광역</v>
      </c>
      <c r="D14" s="17" t="n">
        <v>2</v>
      </c>
      <c r="E14" s="17" t="n">
        <v>0.5</v>
      </c>
      <c r="F14" s="22" t="n">
        <f aca="0">IF(NOT(ISNUMBER(E14)),"",MAX(E14,'범례'!$C$26))</f>
        <v>0.5</v>
      </c>
      <c r="G14" s="17" t="n">
        <v>50</v>
      </c>
      <c r="H14" s="17" t="n">
        <v>1</v>
      </c>
      <c r="I14" s="19" t="n">
        <f aca="0">IF(OR(NOT(ISNUMBER(G14)),NOT(ISNUMBER(H14))),"",G14*MAX(1,H14)+T14)</f>
        <v>50</v>
      </c>
      <c r="J14" s="41" t="n">
        <f aca="0">IF(OR(NOT(ISNUMBER(G14)),NOT(ISNUMBER(H14))),"",IF(G14&lt;=0,0,((1-'직업'!$D$5)*MAX(1,INT(G14*'범례'!$C$20/('범례'!$C$21+'범례'!$C$20)+0.5))+'직업'!$D$5*MAX(1,INT(G14*'범례'!$C$20/('범례'!$C$21+'범례'!$C$20)*'범례'!$C$19+0.5)))*(MAX(1,H14)-1)+((1-'직업'!$D$5)*MAX(1,INT((G14+T14)*'범례'!$C$20/('범례'!$C$21+'범례'!$C$20)+0.5))+'직업'!$D$5*MAX(1,INT((G14+T14)*'범례'!$C$20/('범례'!$C$21+'범례'!$C$20)*'범례'!$C$19+0.5)))))</f>
        <v>53.75</v>
      </c>
      <c r="K14" s="41" t="n">
        <f aca="0">IF(NOT(ISNUMBER(J14)),"",J14*IF(ISNUMBER(SEARCH("광역",$C14)),'범례'!$C$30,1))</f>
        <v>107.5</v>
      </c>
      <c r="L14" s="22" t="n">
        <f aca="0">IF(OR(NOT(ISNUMBER(J14)),NOT(ISNUMBER(D14)),D14=0),"",J14/D14)</f>
        <v>26.875</v>
      </c>
      <c r="M14" s="22" t="n">
        <f aca="0">IF(OR(NOT(ISNUMBER(K14)),NOT(ISNUMBER(D14)),D14=0),"",K14/D14)</f>
        <v>53.75</v>
      </c>
      <c r="N14" s="22" t="n">
        <f aca="0">IF(OR(NOT(ISNUMBER(K14)),NOT(ISNUMBER(F14)),F14=0),"",K14/F14)</f>
        <v>215</v>
      </c>
      <c r="O14" s="17" t="n">
        <v>0</v>
      </c>
      <c r="P14" s="17" t="n">
        <v>0</v>
      </c>
      <c r="Q14" s="20" t="str">
        <v>보상. 일반 시전</v>
      </c>
      <c r="R14" s="22" t="n">
        <f aca="0">IF(AND(LEFT($C14,1)="딜",ISNUMBER(M14)),M14,"")</f>
        <v>53.75</v>
      </c>
      <c r="S14" s="22" t="n">
        <f aca="0">IF(AND(LEFT($C14,1)="딜",ISNUMBER(N14)),N14,"")</f>
        <v>215</v>
      </c>
      <c r="T14" s="17" t="n">
        <v>0</v>
      </c>
    </row>
    <row r="15" ht="15" hidden="0">
      <c r="A15" s="17" t="str">
        <v>SK11</v>
      </c>
      <c r="B15" s="17" t="str">
        <v>침묵</v>
      </c>
      <c r="C15" s="17" t="str">
        <v>차단</v>
      </c>
      <c r="D15" s="17" t="n">
        <v>2</v>
      </c>
      <c r="E15" s="17" t="n">
        <v>0.2</v>
      </c>
      <c r="F15" s="22" t="n">
        <f aca="0">IF(NOT(ISNUMBER(E15)),"",MAX(E15,'범례'!$C$26))</f>
        <v>0.4</v>
      </c>
      <c r="G15" s="17" t="n">
        <v>0</v>
      </c>
      <c r="H15" s="17" t="n">
        <v>1</v>
      </c>
      <c r="I15" s="19" t="n">
        <f aca="0">IF(OR(NOT(ISNUMBER(G15)),NOT(ISNUMBER(H15))),"",G15*MAX(1,H15)+T15)</f>
        <v>0</v>
      </c>
      <c r="J15" s="41" t="n">
        <f aca="0">IF(OR(NOT(ISNUMBER(G15)),NOT(ISNUMBER(H15))),"",IF(G15&lt;=0,0,((1-'직업'!$D$5)*MAX(1,INT(G15*'범례'!$C$20/('범례'!$C$21+'범례'!$C$20)+0.5))+'직업'!$D$5*MAX(1,INT(G15*'범례'!$C$20/('범례'!$C$21+'범례'!$C$20)*'범례'!$C$19+0.5)))*(MAX(1,H15)-1)+((1-'직업'!$D$5)*MAX(1,INT((G15+T15)*'범례'!$C$20/('범례'!$C$21+'범례'!$C$20)+0.5))+'직업'!$D$5*MAX(1,INT((G15+T15)*'범례'!$C$20/('범례'!$C$21+'범례'!$C$20)*'범례'!$C$19+0.5)))))</f>
        <v>0</v>
      </c>
      <c r="K15" s="41" t="n">
        <f aca="0">IF(NOT(ISNUMBER(J15)),"",J15*IF(ISNUMBER(SEARCH("광역",$C15)),'범례'!$C$30,1))</f>
        <v>0</v>
      </c>
      <c r="L15" s="22" t="n">
        <f aca="0">IF(OR(NOT(ISNUMBER(J15)),NOT(ISNUMBER(D15)),D15=0),"",J15/D15)</f>
        <v>0</v>
      </c>
      <c r="M15" s="22" t="n">
        <f aca="0">IF(OR(NOT(ISNUMBER(K15)),NOT(ISNUMBER(D15)),D15=0),"",K15/D15)</f>
        <v>0</v>
      </c>
      <c r="N15" s="22" t="n">
        <f aca="0">IF(OR(NOT(ISNUMBER(K15)),NOT(ISNUMBER(F15)),F15=0),"",K15/F15)</f>
        <v>0</v>
      </c>
      <c r="O15" s="17" t="n">
        <v>0</v>
      </c>
      <c r="P15" s="17" t="n">
        <v>2.7</v>
      </c>
      <c r="Q15" s="20" t="str">
        <v>시작 덱. 일반 시전, 캐스팅 중 대상만</v>
      </c>
      <c r="R15" s="22" t="str">
        <f aca="0">IF(AND(LEFT($C15,1)="딜",ISNUMBER(M15)),M15,"")</f>
      </c>
      <c r="S15" s="22" t="str">
        <f aca="0">IF(AND(LEFT($C15,1)="딜",ISNUMBER(N15)),N15,"")</f>
      </c>
      <c r="T15" s="17" t="n">
        <v>0</v>
      </c>
    </row>
    <row r="16" ht="15" hidden="0">
      <c r="A16" s="17" t="str">
        <v>SK12</v>
      </c>
      <c r="B16" s="17" t="str">
        <v>제압</v>
      </c>
      <c r="C16" s="17" t="str">
        <v>차단</v>
      </c>
      <c r="D16" s="17" t="n">
        <v>2</v>
      </c>
      <c r="E16" s="17" t="n">
        <v>0.2</v>
      </c>
      <c r="F16" s="22" t="n">
        <f aca="0">IF(NOT(ISNUMBER(E16)),"",MAX(E16,'범례'!$C$26))</f>
        <v>0.4</v>
      </c>
      <c r="G16" s="17" t="n">
        <v>40</v>
      </c>
      <c r="H16" s="17" t="n">
        <v>1</v>
      </c>
      <c r="I16" s="19" t="n">
        <f aca="0">IF(OR(NOT(ISNUMBER(G16)),NOT(ISNUMBER(H16))),"",G16*MAX(1,H16)+T16)</f>
        <v>40</v>
      </c>
      <c r="J16" s="41" t="n">
        <f aca="0">IF(OR(NOT(ISNUMBER(G16)),NOT(ISNUMBER(H16))),"",IF(G16&lt;=0,0,((1-'직업'!$D$5)*MAX(1,INT(G16*'범례'!$C$20/('범례'!$C$21+'범례'!$C$20)+0.5))+'직업'!$D$5*MAX(1,INT(G16*'범례'!$C$20/('범례'!$C$21+'범례'!$C$20)*'범례'!$C$19+0.5)))*(MAX(1,H16)-1)+((1-'직업'!$D$5)*MAX(1,INT((G16+T16)*'범례'!$C$20/('범례'!$C$21+'범례'!$C$20)+0.5))+'직업'!$D$5*MAX(1,INT((G16+T16)*'범례'!$C$20/('범례'!$C$21+'범례'!$C$20)*'범례'!$C$19+0.5)))))</f>
        <v>43</v>
      </c>
      <c r="K16" s="41" t="n">
        <f aca="0">IF(NOT(ISNUMBER(J16)),"",J16*IF(ISNUMBER(SEARCH("광역",$C16)),'범례'!$C$30,1))</f>
        <v>43</v>
      </c>
      <c r="L16" s="22" t="n">
        <f aca="0">IF(OR(NOT(ISNUMBER(J16)),NOT(ISNUMBER(D16)),D16=0),"",J16/D16)</f>
        <v>21.5</v>
      </c>
      <c r="M16" s="22" t="n">
        <f aca="0">IF(OR(NOT(ISNUMBER(K16)),NOT(ISNUMBER(D16)),D16=0),"",K16/D16)</f>
        <v>21.5</v>
      </c>
      <c r="N16" s="22" t="n">
        <f aca="0">IF(OR(NOT(ISNUMBER(K16)),NOT(ISNUMBER(F16)),F16=0),"",K16/F16)</f>
        <v>107.5</v>
      </c>
      <c r="O16" s="17" t="n">
        <v>0</v>
      </c>
      <c r="P16" s="17" t="n">
        <v>2.7</v>
      </c>
      <c r="Q16" s="20" t="str">
        <v>보상. 일반 시전, 피해+차단</v>
      </c>
      <c r="R16" s="22" t="str">
        <f aca="0">IF(AND(LEFT($C16,1)="딜",ISNUMBER(M16)),M16,"")</f>
      </c>
      <c r="S16" s="22" t="str">
        <f aca="0">IF(AND(LEFT($C16,1)="딜",ISNUMBER(N16)),N16,"")</f>
      </c>
      <c r="T16" s="17" t="n">
        <v>0</v>
      </c>
    </row>
    <row r="17" ht="15" hidden="0">
      <c r="A17" s="17" t="str">
        <v>SK13</v>
      </c>
      <c r="B17" s="17" t="str">
        <v>매직아머</v>
      </c>
      <c r="C17" s="17" t="str">
        <v>방어</v>
      </c>
      <c r="D17" s="17" t="n">
        <v>3</v>
      </c>
      <c r="E17" s="17" t="n">
        <v>0.2</v>
      </c>
      <c r="F17" s="22" t="n">
        <f aca="0">IF(NOT(ISNUMBER(E17)),"",MAX(E17,'범례'!$C$26))</f>
        <v>0.4</v>
      </c>
      <c r="G17" s="17" t="n">
        <v>0</v>
      </c>
      <c r="H17" s="17" t="n">
        <v>1</v>
      </c>
      <c r="I17" s="19" t="n">
        <f aca="0">IF(OR(NOT(ISNUMBER(G17)),NOT(ISNUMBER(H17))),"",G17*MAX(1,H17)+T17)</f>
        <v>0</v>
      </c>
      <c r="J17" s="41" t="n">
        <f aca="0">IF(OR(NOT(ISNUMBER(G17)),NOT(ISNUMBER(H17))),"",IF(G17&lt;=0,0,((1-'직업'!$D$5)*MAX(1,INT(G17*'범례'!$C$20/('범례'!$C$21+'범례'!$C$20)+0.5))+'직업'!$D$5*MAX(1,INT(G17*'범례'!$C$20/('범례'!$C$21+'범례'!$C$20)*'범례'!$C$19+0.5)))*(MAX(1,H17)-1)+((1-'직업'!$D$5)*MAX(1,INT((G17+T17)*'범례'!$C$20/('범례'!$C$21+'범례'!$C$20)+0.5))+'직업'!$D$5*MAX(1,INT((G17+T17)*'범례'!$C$20/('범례'!$C$21+'범례'!$C$20)*'범례'!$C$19+0.5)))))</f>
        <v>0</v>
      </c>
      <c r="K17" s="41" t="n">
        <f aca="0">IF(NOT(ISNUMBER(J17)),"",J17*IF(ISNUMBER(SEARCH("광역",$C17)),'범례'!$C$30,1))</f>
        <v>0</v>
      </c>
      <c r="L17" s="22" t="n">
        <f aca="0">IF(OR(NOT(ISNUMBER(J17)),NOT(ISNUMBER(D17)),D17=0),"",J17/D17)</f>
        <v>0</v>
      </c>
      <c r="M17" s="22" t="n">
        <f aca="0">IF(OR(NOT(ISNUMBER(K17)),NOT(ISNUMBER(D17)),D17=0),"",K17/D17)</f>
        <v>0</v>
      </c>
      <c r="N17" s="22" t="n">
        <f aca="0">IF(OR(NOT(ISNUMBER(K17)),NOT(ISNUMBER(F17)),F17=0),"",K17/F17)</f>
        <v>0</v>
      </c>
      <c r="O17" s="17" t="n">
        <v>120</v>
      </c>
      <c r="P17" s="17" t="n">
        <v>0</v>
      </c>
      <c r="Q17" s="20" t="str">
        <v>시작 덱. 일반 시전</v>
      </c>
      <c r="R17" s="22" t="str">
        <f aca="0">IF(AND(LEFT($C17,1)="딜",ISNUMBER(M17)),M17,"")</f>
      </c>
      <c r="S17" s="22" t="str">
        <f aca="0">IF(AND(LEFT($C17,1)="딜",ISNUMBER(N17)),N17,"")</f>
      </c>
      <c r="T17" s="17" t="n">
        <v>0</v>
      </c>
    </row>
    <row r="18" ht="15" hidden="0">
      <c r="A18" s="17" t="str">
        <v>SK14</v>
      </c>
      <c r="B18" s="17" t="str">
        <v>생츄어리</v>
      </c>
      <c r="C18" s="17" t="str">
        <v>방어</v>
      </c>
      <c r="D18" s="17" t="n">
        <v>5</v>
      </c>
      <c r="E18" s="17" t="n">
        <v>2.5</v>
      </c>
      <c r="F18" s="22" t="n">
        <f aca="0">IF(NOT(ISNUMBER(E18)),"",MAX(E18,'범례'!$C$26))</f>
        <v>2.5</v>
      </c>
      <c r="G18" s="17" t="n">
        <v>0</v>
      </c>
      <c r="H18" s="17" t="n">
        <v>1</v>
      </c>
      <c r="I18" s="19" t="n">
        <f aca="0">IF(OR(NOT(ISNUMBER(G18)),NOT(ISNUMBER(H18))),"",G18*MAX(1,H18)+T18)</f>
        <v>0</v>
      </c>
      <c r="J18" s="41" t="n">
        <f aca="0">IF(OR(NOT(ISNUMBER(G18)),NOT(ISNUMBER(H18))),"",IF(G18&lt;=0,0,((1-'직업'!$D$5)*MAX(1,INT(G18*'범례'!$C$20/('범례'!$C$21+'범례'!$C$20)+0.5))+'직업'!$D$5*MAX(1,INT(G18*'범례'!$C$20/('범례'!$C$21+'범례'!$C$20)*'범례'!$C$19+0.5)))*(MAX(1,H18)-1)+((1-'직업'!$D$5)*MAX(1,INT((G18+T18)*'범례'!$C$20/('범례'!$C$21+'범례'!$C$20)+0.5))+'직업'!$D$5*MAX(1,INT((G18+T18)*'범례'!$C$20/('범례'!$C$21+'범례'!$C$20)*'범례'!$C$19+0.5)))))</f>
        <v>0</v>
      </c>
      <c r="K18" s="41" t="n">
        <f aca="0">IF(NOT(ISNUMBER(J18)),"",J18*IF(ISNUMBER(SEARCH("광역",$C18)),'범례'!$C$30,1))</f>
        <v>0</v>
      </c>
      <c r="L18" s="22" t="n">
        <f aca="0">IF(OR(NOT(ISNUMBER(J18)),NOT(ISNUMBER(D18)),D18=0),"",J18/D18)</f>
        <v>0</v>
      </c>
      <c r="M18" s="22" t="n">
        <f aca="0">IF(OR(NOT(ISNUMBER(K18)),NOT(ISNUMBER(D18)),D18=0),"",K18/D18)</f>
        <v>0</v>
      </c>
      <c r="N18" s="22" t="n">
        <f aca="0">IF(OR(NOT(ISNUMBER(K18)),NOT(ISNUMBER(F18)),F18=0),"",K18/F18)</f>
        <v>0</v>
      </c>
      <c r="O18" s="17" t="n">
        <v>0</v>
      </c>
      <c r="P18" s="17" t="n">
        <v>0</v>
      </c>
      <c r="Q18" s="20" t="str">
        <v>보상. 채널링 중 무적·기절 면역</v>
      </c>
      <c r="R18" s="22" t="str">
        <f aca="0">IF(AND(LEFT($C18,1)="딜",ISNUMBER(M18)),M18,"")</f>
      </c>
      <c r="S18" s="22" t="str">
        <f aca="0">IF(AND(LEFT($C18,1)="딜",ISNUMBER(N18)),N18,"")</f>
      </c>
      <c r="T18" s="17" t="n">
        <v>0</v>
      </c>
    </row>
    <row r="19" ht="15" hidden="0">
      <c r="A19" s="17" t="inlineStr">
        <is>
          <t>SK15</t>
        </is>
      </c>
      <c r="B19" s="17" t="inlineStr">
        <is>
          <t>비전 배리어</t>
        </is>
      </c>
      <c r="C19" s="17" t="str">
        <v>방어</v>
      </c>
      <c r="D19" s="17">
        <v>5</v>
      </c>
      <c r="E19" s="17" t="n">
        <v>0.2</v>
      </c>
      <c r="F19" s="22">
        <f aca="0">IF(NOT(ISNUMBER(E19)),"",MAX(E19,'범례'!$C$26))</f>
        <v>0.4</v>
      </c>
      <c r="G19" s="17" t="n">
        <v>0</v>
      </c>
      <c r="H19" s="17" t="n">
        <v>1</v>
      </c>
      <c r="I19" s="19">
        <f aca="0">IF(OR(NOT(ISNUMBER(G19)),NOT(ISNUMBER(H19))),"",G19*MAX(1,H19)+T19)</f>
        <v>0</v>
      </c>
      <c r="J19" s="41">
        <f aca="0">IF(OR(NOT(ISNUMBER(G19)),NOT(ISNUMBER(H19))),"",IF(G19&lt;=0,0,((1-'직업'!$D$5)*MAX(1,INT(G19*'범례'!$C$20/('범례'!$C$21+'범례'!$C$20)+0.5))+'직업'!$D$5*MAX(1,INT(G19*'범례'!$C$20/('범례'!$C$21+'범례'!$C$20)*'범례'!$C$19+0.5)))*(MAX(1,H19)-1)+((1-'직업'!$D$5)*MAX(1,INT((G19+T19)*'범례'!$C$20/('범례'!$C$21+'범례'!$C$20)+0.5))+'직업'!$D$5*MAX(1,INT((G19+T19)*'범례'!$C$20/('범례'!$C$21+'범례'!$C$20)*'범례'!$C$19+0.5)))))</f>
        <v>0</v>
      </c>
      <c r="K19" s="41">
        <f aca="0">IF(NOT(ISNUMBER(J19)),"",J19*IF(ISNUMBER(SEARCH("광역",$C19)),'범례'!$C$30,1))</f>
        <v>0</v>
      </c>
      <c r="L19" s="22">
        <f aca="0">IF(OR(NOT(ISNUMBER(J19)),NOT(ISNUMBER(D19)),D19=0),"",J19/D19)</f>
        <v>0</v>
      </c>
      <c r="M19" s="22">
        <f aca="0">IF(OR(NOT(ISNUMBER(K19)),NOT(ISNUMBER(D19)),D19=0),"",K19/D19)</f>
        <v>0</v>
      </c>
      <c r="N19" s="22">
        <f aca="0">IF(OR(NOT(ISNUMBER(K19)),NOT(ISNUMBER(F19)),F19=0),"",K19/F19)</f>
        <v>0</v>
      </c>
      <c r="O19" s="17">
        <v>250</v>
      </c>
      <c r="P19" s="17" t="n">
        <v>0</v>
      </c>
      <c r="Q19" s="20" t="inlineStr">
        <is>
          <t>보상. 일반 시전, 방어도 누적</t>
        </is>
      </c>
      <c r="R19" s="22" t="str">
        <f aca="0">IF(AND(LEFT($C19,1)="딜",ISNUMBER(M19)),M19,"")</f>
        <v/>
      </c>
      <c r="S19" s="22" t="str">
        <f aca="0">IF(AND(LEFT($C19,1)="딜",ISNUMBER(N19)),N19,"")</f>
        <v/>
      </c>
      <c r="T19" s="17" t="n">
        <v>0</v>
      </c>
    </row>
    <row r="22" ht="15" hidden="0">
      <c r="A22" s="3" t="str">
        <v>구현 딜 카드 비교 (잡몹전 평균 적 수 기준)</v>
      </c>
    </row>
    <row r="23" ht="29.850000381469727" hidden="0">
      <c r="A23" s="10" t="s">
        <v>68</v>
      </c>
      <c r="B23" s="22">
        <f>IFERROR(MAX(R5:R19),"")</f>
        <v>57.333333333333336</v>
      </c>
      <c r="C23" s="25" t="s">
        <v>69</v>
      </c>
    </row>
    <row r="24" ht="29.850000381469727" hidden="0">
      <c r="A24" s="10" t="s">
        <v>70</v>
      </c>
      <c r="B24" s="22">
        <f>IFERROR(MIN(R5:R19),"")</f>
        <v>32.25</v>
      </c>
      <c r="C24" s="25"/>
    </row>
    <row r="25" ht="29.850000381469727" hidden="0">
      <c r="A25" s="10" t="s">
        <v>71</v>
      </c>
      <c r="B25" s="19" t="n">
        <f aca="0">IFERROR(B23/B24,"")</f>
        <v>1.777777777777778</v>
      </c>
      <c r="C25" s="25" t="s">
        <v>72</v>
      </c>
    </row>
    <row r="26" ht="29.850000381469727" hidden="0">
      <c r="A26" s="10" t="s">
        <v>73</v>
      </c>
      <c r="B26" s="22">
        <f>IFERROR(MAX(S5:S19),"")</f>
        <v>349.375</v>
      </c>
      <c r="C26" s="25" t="s">
        <v>74</v>
      </c>
    </row>
    <row r="27" ht="29.850000381469727" hidden="0">
      <c r="A27" s="10" t="s">
        <v>75</v>
      </c>
      <c r="B27" s="22">
        <f>IFERROR(MIN(S5:S19),"")</f>
        <v>67.32142857142857</v>
      </c>
      <c r="C27" s="25"/>
    </row>
    <row r="28" ht="29.850000381469727" hidden="0">
      <c r="A28" s="10" t="s">
        <v>76</v>
      </c>
      <c r="B28" s="19" t="n">
        <f aca="0">IFERROR(B26/B27,"")</f>
        <v>5.189655172413794</v>
      </c>
      <c r="C28" s="25" t="s">
        <v>72</v>
      </c>
    </row>
    <row r="29" ht="29.850000381469727" hidden="0">
      <c r="A29" s="10" t="s">
        <v>77</v>
      </c>
      <c r="B29" s="23">
        <f>COUNTIF(C5:C19,"딜/단일")</f>
        <v>6</v>
      </c>
      <c r="C29" s="25" t="inlineStr">
        <is>
          <t xml:space="preserve">목표 6</t>
        </is>
      </c>
    </row>
    <row r="30" ht="29.850000381469727" hidden="0">
      <c r="A30" s="10" t="s">
        <v>78</v>
      </c>
      <c r="B30" s="23">
        <f>COUNTIF(C5:C19,"딜/광역")</f>
        <v>4</v>
      </c>
      <c r="C30" s="25" t="s">
        <v>79</v>
      </c>
    </row>
    <row r="31" ht="29.850000381469727" hidden="0">
      <c r="A31" s="10" t="s">
        <v>80</v>
      </c>
      <c r="B31" s="23">
        <f>COUNTIF(C5:C19,"차단")</f>
        <v>2</v>
      </c>
      <c r="C31" s="25" t="inlineStr">
        <is>
          <t xml:space="preserve">목표 2</t>
        </is>
      </c>
    </row>
    <row r="32" ht="29.850000381469727" hidden="0">
      <c r="A32" s="10" t="s">
        <v>81</v>
      </c>
      <c r="B32" s="23">
        <f>COUNTIF(C5:C19,"방어")</f>
        <v>3</v>
      </c>
      <c r="C32" s="25" t="inlineStr">
        <is>
          <t>목표 3</t>
        </is>
      </c>
    </row>
    <row r="34" ht="15" hidden="0">
      <c r="A34" s="14" t="str">
        <v>비율은 참고 지표. 시전 취소·대상 수·실제 사용 장면과 함께 판단.</v>
      </c>
    </row>
    <row r="35" ht="15" hidden="0">
      <c r="A35" s="14" t="str">
        <v>제압은 피해+차단의 승인 예외. 10 A23 참조.</v>
      </c>
    </row>
    <row r="37" ht="15" hidden="0">
      <c r="A37" s="3" t="s">
        <v>82</v>
      </c>
    </row>
    <row r="38" ht="22" hidden="0" customHeight="1">
      <c r="A38" s="38" t="str">
        <v>단일/광역 기본 방향은 10 T11. 카드별 예외는 A20·A23·A29.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</row>
    <row r="39" ht="22" hidden="0" customHeight="1">
      <c r="A39" s="40" t="str">
        <v>L열은 1체, M열은 일반 전투 평균 적 수 기준. 실제 대상 수·시전 시간을 함께 비교.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</row>
    <row r="40" ht="22" hidden="0" customHeight="1">
      <c r="A40" s="38" t="str">
        <v>보스전은 본체 1체+오브 최대 2체. 광역 가치는 활성 오브 수에 따라 달라짐(10 A43).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</row>
    <row r="41" ht="22" hidden="0" customHeight="1">
      <c r="A41" s="38" t="str">
        <v>광역 시전 시간은 현재 카드별 값을 따름. 채널링은 중단 시 남은 피해 미발생.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</row>
  </sheetData>
  <pageMargins left="0.7" right="0.7" top="0.75" bottom="0.75" header="0.3" footer="0.3"/>
</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2" hidden="0" customWidth="1"/>
    <x:col min="2" max="2" width="18" hidden="0" customWidth="1"/>
    <x:col min="3" max="3" width="12" hidden="0" customWidth="1"/>
    <x:col min="4" max="4" width="9" hidden="0" customWidth="1"/>
    <x:col min="5" max="5" width="10" hidden="0" customWidth="1"/>
    <x:col min="6" max="6" width="11" hidden="0" customWidth="1"/>
    <x:col min="7" max="7" width="10" hidden="0" customWidth="1"/>
    <x:col min="8" max="8" width="20" hidden="0" customWidth="1"/>
    <x:col min="9" max="10" width="17" hidden="0" customWidth="1"/>
    <x:col min="11" max="12" width="16" hidden="0" customWidth="1"/>
  </x:cols>
  <x:sheetData>
    <x:row r="1" ht="20.100000381469727" hidden="0">
      <x:c r="A1" s="15" t="s">
        <x:v>83</x:v>
      </x:c>
    </x:row>
    <x:row r="2" ht="15" hidden="0">
      <x:c r="A2" s="21" t="s">
        <x:v>84</x:v>
      </x:c>
    </x:row>
    <x:row r="4" ht="31.5" hidden="0" customHeight="1">
      <x:c r="A4" s="8" t="s">
        <x:v>85</x:v>
      </x:c>
      <x:c r="B4" s="8" t="s">
        <x:v>54</x:v>
      </x:c>
      <x:c r="C4" s="8" t="s">
        <x:v>55</x:v>
      </x:c>
      <x:c r="D4" s="8" t="s">
        <x:v>56</x:v>
      </x:c>
      <x:c r="E4" s="8" t="s">
        <x:v>57</x:v>
      </x:c>
      <x:c r="F4" s="8" t="str">
        <x:v>기대 피해(1체)</x:v>
      </x:c>
      <x:c r="G4" s="8" t="s">
        <x:v>86</x:v>
      </x:c>
      <x:c r="H4" s="8" t="str">
        <x:v>앞 카드 코스트 합</x:v>
      </x:c>
      <x:c r="I4" s="8" t="str">
        <x:v>비용/회복량(초)</x:v>
      </x:c>
      <x:c r="J4" s="8" t="str">
        <x:v>앞 카드 잠금 합(초)</x:v>
      </x:c>
      <x:c r="K4" s="8" t="s">
        <x:v>87</x:v>
      </x:c>
      <x:c r="L4" s="8" t="s">
        <x:v>88</x:v>
      </x:c>
    </x:row>
    <x:row r="5" ht="15" hidden="0">
      <x:c r="A5" s="27" t="n">
        <x:v>1</x:v>
      </x:c>
      <x:c r="B5" s="17" t="str">
        <x:v>파이어볼</x:v>
      </x:c>
      <x:c r="C5" s="27" t="str">
        <x:f aca="0">IFERROR(INDEX('스킬'!$C:$C,MATCH($B5,'스킬'!$B:$B,0)),"")</x:f>
        <x:v>딜/단일</x:v>
      </x:c>
      <x:c r="D5" s="23" t="n">
        <x:f aca="0">IFERROR(INDEX('스킬'!$D:$D,MATCH($B5,'스킬'!$B:$B,0)),"")</x:f>
        <x:v>1</x:v>
      </x:c>
      <x:c r="E5" s="22" t="n">
        <x:f aca="0">IFERROR(INDEX('스킬'!$F:$F,MATCH($B5,'스킬'!$B:$B,0)),"")</x:f>
        <x:v>0.4</x:v>
      </x:c>
      <x:c r="F5" s="41" t="n">
        <x:f aca="0">IFERROR(INDEX('스킬'!$J:$J,MATCH($B5,'스킬'!$B:$B,0)),"")</x:f>
        <x:v>32.25</x:v>
      </x:c>
      <x:c r="G5" s="27" t="str">
        <x:f aca="0">IF($A5&lt;=4,"손패","대기열")</x:f>
        <x:v>손패</x:v>
      </x:c>
      <x:c r="H5" s="23" t="n">
        <x:f aca="0">IF($A5&lt;=4,0,SUM($D$5:INDEX($D$5:$D$12,$A5-4)))</x:f>
        <x:v>0</x:v>
      </x:c>
      <x:c r="I5" s="22" t="n">
        <x:f aca="0">IFERROR(H5/'범례'!$C$23,"")</x:f>
        <x:v>0</x:v>
      </x:c>
      <x:c r="J5" s="22" t="n">
        <x:f aca="0">IF($A5&lt;=4,0,SUM($E$5:INDEX($E$5:$E$12,$A5-4)))</x:f>
        <x:v>0</x:v>
      </x:c>
      <x:c r="K5" s="22" t="str">
        <x:f aca="0">IF(OR(C5="차단",C5="방어"),I5,"")</x:f>
      </x:c>
      <x:c r="L5" s="22" t="str">
        <x:f aca="0">IF(OR(C5="차단",C5="방어"),J5,"")</x:f>
      </x:c>
    </x:row>
    <x:row r="6" ht="15" hidden="0">
      <x:c r="A6" s="27" t="n">
        <x:v>2</x:v>
      </x:c>
      <x:c r="B6" s="17" t="str">
        <x:v>파이어 필라</x:v>
      </x:c>
      <x:c r="C6" s="27" t="str">
        <x:f aca="0">IFERROR(INDEX('스킬'!$C:$C,MATCH($B6,'스킬'!$B:$B,0)),"")</x:f>
        <x:v>딜/광역</x:v>
      </x:c>
      <x:c r="D6" s="23" t="n">
        <x:f aca="0">IFERROR(INDEX('스킬'!$D:$D,MATCH($B6,'스킬'!$B:$B,0)),"")</x:f>
        <x:v>4</x:v>
      </x:c>
      <x:c r="E6" s="22" t="n">
        <x:f aca="0">IFERROR(INDEX('스킬'!$F:$F,MATCH($B6,'스킬'!$B:$B,0)),"")</x:f>
        <x:v>1</x:v>
      </x:c>
      <x:c r="F6" s="41" t="n">
        <x:f aca="0">IFERROR(INDEX('스킬'!$J:$J,MATCH($B6,'스킬'!$B:$B,0)),"")</x:f>
        <x:v>96.75</x:v>
      </x:c>
      <x:c r="G6" s="27" t="str">
        <x:f aca="0">IF($A6&lt;=4,"손패","대기열")</x:f>
        <x:v>손패</x:v>
      </x:c>
      <x:c r="H6" s="23" t="n">
        <x:f aca="0">IF($A6&lt;=4,0,SUM($D$5:INDEX($D$5:$D$12,$A6-4)))</x:f>
        <x:v>0</x:v>
      </x:c>
      <x:c r="I6" s="22" t="n">
        <x:f aca="0">IFERROR(H6/'범례'!$C$23,"")</x:f>
        <x:v>0</x:v>
      </x:c>
      <x:c r="J6" s="22" t="n">
        <x:f aca="0">IF($A6&lt;=4,0,SUM($E$5:INDEX($E$5:$E$12,$A6-4)))</x:f>
        <x:v>0</x:v>
      </x:c>
      <x:c r="K6" s="22" t="str">
        <x:f aca="0">IF(OR(C6="차단",C6="방어"),I6,"")</x:f>
      </x:c>
      <x:c r="L6" s="22" t="str">
        <x:f aca="0">IF(OR(C6="차단",C6="방어"),J6,"")</x:f>
      </x:c>
    </x:row>
    <x:row r="7" ht="15" hidden="0">
      <x:c r="A7" s="27" t="n">
        <x:v>3</x:v>
      </x:c>
      <x:c r="B7" s="17" t="str">
        <x:v>침묵</x:v>
      </x:c>
      <x:c r="C7" s="27" t="str">
        <x:f aca="0">IFERROR(INDEX('스킬'!$C:$C,MATCH($B7,'스킬'!$B:$B,0)),"")</x:f>
        <x:v>차단</x:v>
      </x:c>
      <x:c r="D7" s="23" t="n">
        <x:f aca="0">IFERROR(INDEX('스킬'!$D:$D,MATCH($B7,'스킬'!$B:$B,0)),"")</x:f>
        <x:v>2</x:v>
      </x:c>
      <x:c r="E7" s="22" t="n">
        <x:f aca="0">IFERROR(INDEX('스킬'!$F:$F,MATCH($B7,'스킬'!$B:$B,0)),"")</x:f>
        <x:v>0.4</x:v>
      </x:c>
      <x:c r="F7" s="41" t="n">
        <x:f aca="0">IFERROR(INDEX('스킬'!$J:$J,MATCH($B7,'스킬'!$B:$B,0)),"")</x:f>
        <x:v>0</x:v>
      </x:c>
      <x:c r="G7" s="27" t="str">
        <x:f aca="0">IF($A7&lt;=4,"손패","대기열")</x:f>
        <x:v>손패</x:v>
      </x:c>
      <x:c r="H7" s="23" t="n">
        <x:f aca="0">IF($A7&lt;=4,0,SUM($D$5:INDEX($D$5:$D$12,$A7-4)))</x:f>
        <x:v>0</x:v>
      </x:c>
      <x:c r="I7" s="22" t="n">
        <x:f aca="0">IFERROR(H7/'범례'!$C$23,"")</x:f>
        <x:v>0</x:v>
      </x:c>
      <x:c r="J7" s="22" t="n">
        <x:f aca="0">IF($A7&lt;=4,0,SUM($E$5:INDEX($E$5:$E$12,$A7-4)))</x:f>
        <x:v>0</x:v>
      </x:c>
      <x:c r="K7" s="22" t="n">
        <x:f aca="0">IF(OR(C7="차단",C7="방어"),I7,"")</x:f>
        <x:v>0</x:v>
      </x:c>
      <x:c r="L7" s="22" t="n">
        <x:f aca="0">IF(OR(C7="차단",C7="방어"),J7,"")</x:f>
        <x:v>0</x:v>
      </x:c>
    </x:row>
    <x:row r="8" ht="15" hidden="0">
      <x:c r="A8" s="27" t="n">
        <x:v>4</x:v>
      </x:c>
      <x:c r="B8" s="17" t="str">
        <x:v>매직아머</x:v>
      </x:c>
      <x:c r="C8" s="27" t="str">
        <x:f aca="0">IFERROR(INDEX('스킬'!$C:$C,MATCH($B8,'스킬'!$B:$B,0)),"")</x:f>
        <x:v>방어</x:v>
      </x:c>
      <x:c r="D8" s="23" t="n">
        <x:f aca="0">IFERROR(INDEX('스킬'!$D:$D,MATCH($B8,'스킬'!$B:$B,0)),"")</x:f>
        <x:v>3</x:v>
      </x:c>
      <x:c r="E8" s="22" t="n">
        <x:f aca="0">IFERROR(INDEX('스킬'!$F:$F,MATCH($B8,'스킬'!$B:$B,0)),"")</x:f>
        <x:v>0.4</x:v>
      </x:c>
      <x:c r="F8" s="41" t="n">
        <x:f aca="0">IFERROR(INDEX('스킬'!$J:$J,MATCH($B8,'스킬'!$B:$B,0)),"")</x:f>
        <x:v>0</x:v>
      </x:c>
      <x:c r="G8" s="27" t="str">
        <x:f aca="0">IF($A8&lt;=4,"손패","대기열")</x:f>
        <x:v>손패</x:v>
      </x:c>
      <x:c r="H8" s="23" t="n">
        <x:f aca="0">IF($A8&lt;=4,0,SUM($D$5:INDEX($D$5:$D$12,$A8-4)))</x:f>
        <x:v>0</x:v>
      </x:c>
      <x:c r="I8" s="22" t="n">
        <x:f aca="0">IFERROR(H8/'범례'!$C$23,"")</x:f>
        <x:v>0</x:v>
      </x:c>
      <x:c r="J8" s="22" t="n">
        <x:f aca="0">IF($A8&lt;=4,0,SUM($E$5:INDEX($E$5:$E$12,$A8-4)))</x:f>
        <x:v>0</x:v>
      </x:c>
      <x:c r="K8" s="22" t="n">
        <x:f aca="0">IF(OR(C8="차단",C8="방어"),I8,"")</x:f>
        <x:v>0</x:v>
      </x:c>
      <x:c r="L8" s="22" t="n">
        <x:f aca="0">IF(OR(C8="차단",C8="방어"),J8,"")</x:f>
        <x:v>0</x:v>
      </x:c>
    </x:row>
    <x:row r="9" ht="15" hidden="0">
      <x:c r="A9" s="27" t="n">
        <x:v>5</x:v>
      </x:c>
      <x:c r="B9" s="17" t="str">
        <x:v>매직 스파크</x:v>
      </x:c>
      <x:c r="C9" s="27" t="str">
        <x:f aca="0">IFERROR(INDEX('스킬'!$C:$C,MATCH($B9,'스킬'!$B:$B,0)),"")</x:f>
        <x:v>딜/광역</x:v>
      </x:c>
      <x:c r="D9" s="23" t="n">
        <x:f aca="0">IFERROR(INDEX('스킬'!$D:$D,MATCH($B9,'스킬'!$B:$B,0)),"")</x:f>
        <x:v>3</x:v>
      </x:c>
      <x:c r="E9" s="22" t="n">
        <x:f aca="0">IFERROR(INDEX('스킬'!$F:$F,MATCH($B9,'스킬'!$B:$B,0)),"")</x:f>
        <x:v>2.2</x:v>
      </x:c>
      <x:c r="F9" s="41" t="n">
        <x:f aca="0">IFERROR(INDEX('스킬'!$J:$J,MATCH($B9,'스킬'!$B:$B,0)),"")</x:f>
        <x:v>86</x:v>
      </x:c>
      <x:c r="G9" s="27" t="str">
        <x:f aca="0">IF($A9&lt;=4,"손패","대기열")</x:f>
        <x:v>대기열</x:v>
      </x:c>
      <x:c r="H9" s="23" t="n">
        <x:f aca="0">SUM(D5:D5)</x:f>
        <x:v>1</x:v>
      </x:c>
      <x:c r="I9" s="22" t="n">
        <x:f aca="0">IFERROR(H9/'범례'!$C$23,"")</x:f>
        <x:v>1.25</x:v>
      </x:c>
      <x:c r="J9" s="22" t="n">
        <x:f aca="0">SUM(E5:E5)</x:f>
        <x:v>0.4</x:v>
      </x:c>
      <x:c r="K9" s="22" t="str">
        <x:f aca="0">IF(OR(C9="차단",C9="방어"),I9,"")</x:f>
      </x:c>
      <x:c r="L9" s="22" t="str">
        <x:f aca="0">IF(OR(C9="차단",C9="방어"),J9,"")</x:f>
      </x:c>
    </x:row>
    <x:row r="10" ht="15" hidden="0">
      <x:c r="A10" s="27" t="n">
        <x:v>6</x:v>
      </x:c>
      <x:c r="B10" s="17" t="str">
        <x:v>라이트닝 스피어</x:v>
      </x:c>
      <x:c r="C10" s="27" t="str">
        <x:f aca="0">IFERROR(INDEX('스킬'!$C:$C,MATCH($B10,'스킬'!$B:$B,0)),"")</x:f>
        <x:v>딜/단일</x:v>
      </x:c>
      <x:c r="D10" s="23" t="n">
        <x:f aca="0">IFERROR(INDEX('스킬'!$D:$D,MATCH($B10,'스킬'!$B:$B,0)),"")</x:f>
        <x:v>4</x:v>
      </x:c>
      <x:c r="E10" s="22" t="n">
        <x:f aca="0">IFERROR(INDEX('스킬'!$F:$F,MATCH($B10,'스킬'!$B:$B,0)),"")</x:f>
        <x:v>0.8</x:v>
      </x:c>
      <x:c r="F10" s="41" t="n">
        <x:f aca="0">IFERROR(INDEX('스킬'!$J:$J,MATCH($B10,'스킬'!$B:$B,0)),"")</x:f>
        <x:v>145.2</x:v>
      </x:c>
      <x:c r="G10" s="27" t="str">
        <x:f aca="0">IF($A10&lt;=4,"손패","대기열")</x:f>
        <x:v>대기열</x:v>
      </x:c>
      <x:c r="H10" s="23" t="n">
        <x:f aca="0">SUM(D5:D6)</x:f>
        <x:v>5</x:v>
      </x:c>
      <x:c r="I10" s="22" t="n">
        <x:f aca="0">IFERROR(H10/'범례'!$C$23,"")</x:f>
        <x:v>6.25</x:v>
      </x:c>
      <x:c r="J10" s="22" t="n">
        <x:f aca="0">SUM(E5:E6)</x:f>
        <x:v>1.4</x:v>
      </x:c>
      <x:c r="K10" s="22" t="str">
        <x:f aca="0">IF(OR(C10="차단",C10="방어"),I10,"")</x:f>
      </x:c>
      <x:c r="L10" s="22" t="str">
        <x:f aca="0">IF(OR(C10="차단",C10="방어"),J10,"")</x:f>
      </x:c>
    </x:row>
    <x:row r="11" ht="15" hidden="0">
      <x:c r="A11" s="27" t="n">
        <x:v>7</x:v>
      </x:c>
      <x:c r="B11" s="17" t="str">
        <x:v>매직 커터</x:v>
      </x:c>
      <x:c r="C11" s="27" t="str">
        <x:f aca="0">IFERROR(INDEX('스킬'!$C:$C,MATCH($B11,'스킬'!$B:$B,0)),"")</x:f>
        <x:v>딜/단일</x:v>
      </x:c>
      <x:c r="D11" s="23" t="n">
        <x:f aca="0">IFERROR(INDEX('스킬'!$D:$D,MATCH($B11,'스킬'!$B:$B,0)),"")</x:f>
        <x:v>2</x:v>
      </x:c>
      <x:c r="E11" s="22" t="n">
        <x:f aca="0">IFERROR(INDEX('스킬'!$F:$F,MATCH($B11,'스킬'!$B:$B,0)),"")</x:f>
        <x:v>0.4</x:v>
      </x:c>
      <x:c r="F11" s="41" t="n">
        <x:f aca="0">IFERROR(INDEX('스킬'!$J:$J,MATCH($B11,'스킬'!$B:$B,0)),"")</x:f>
        <x:v>64.5</x:v>
      </x:c>
      <x:c r="G11" s="27" t="str">
        <x:f aca="0">IF($A11&lt;=4,"손패","대기열")</x:f>
        <x:v>대기열</x:v>
      </x:c>
      <x:c r="H11" s="23" t="n">
        <x:f aca="0">SUM(D5:D7)</x:f>
        <x:v>7</x:v>
      </x:c>
      <x:c r="I11" s="22" t="n">
        <x:f aca="0">IFERROR(H11/'범례'!$C$23,"")</x:f>
        <x:v>8.75</x:v>
      </x:c>
      <x:c r="J11" s="22" t="n">
        <x:f aca="0">SUM(E5:E7)</x:f>
        <x:v>1.7999999999999998</x:v>
      </x:c>
      <x:c r="K11" s="22" t="str">
        <x:f aca="0">IF(OR(C11="차단",C11="방어"),I11,"")</x:f>
      </x:c>
      <x:c r="L11" s="22" t="str">
        <x:f aca="0">IF(OR(C11="차단",C11="방어"),J11,"")</x:f>
      </x:c>
    </x:row>
    <x:row r="12" ht="15" hidden="0">
      <x:c r="A12" s="27" t="n">
        <x:v>8</x:v>
      </x:c>
      <x:c r="B12" s="17" t="str">
        <x:v>아이스애로우</x:v>
      </x:c>
      <x:c r="C12" s="27" t="str">
        <x:f aca="0">IFERROR(INDEX('스킬'!$C:$C,MATCH($B12,'스킬'!$B:$B,0)),"")</x:f>
        <x:v>딜/단일</x:v>
      </x:c>
      <x:c r="D12" s="23" t="n">
        <x:f aca="0">IFERROR(INDEX('스킬'!$D:$D,MATCH($B12,'스킬'!$B:$B,0)),"")</x:f>
        <x:v>5</x:v>
      </x:c>
      <x:c r="E12" s="22" t="n">
        <x:f aca="0">IFERROR(INDEX('스킬'!$F:$F,MATCH($B12,'스킬'!$B:$B,0)),"")</x:f>
        <x:v>2.8</x:v>
      </x:c>
      <x:c r="F12" s="41" t="n">
        <x:f aca="0">IFERROR(INDEX('스킬'!$J:$J,MATCH($B12,'스킬'!$B:$B,0)),"")</x:f>
        <x:v>188.5</x:v>
      </x:c>
      <x:c r="G12" s="27" t="str">
        <x:f aca="0">IF($A12&lt;=4,"손패","대기열")</x:f>
        <x:v>대기열</x:v>
      </x:c>
      <x:c r="H12" s="23" t="n">
        <x:f aca="0">SUM(D5:D8)</x:f>
        <x:v>10</x:v>
      </x:c>
      <x:c r="I12" s="22" t="n">
        <x:f aca="0">IFERROR(H12/'범례'!$C$23,"")</x:f>
        <x:v>12.5</x:v>
      </x:c>
      <x:c r="J12" s="22" t="n">
        <x:f aca="0">SUM(E5:E8)</x:f>
        <x:v>2.1999999999999997</x:v>
      </x:c>
      <x:c r="K12" s="22" t="str">
        <x:f aca="0">IF(OR(C12="차단",C12="방어"),I12,"")</x:f>
      </x:c>
      <x:c r="L12" s="22" t="str">
        <x:f aca="0">IF(OR(C12="차단",C12="방어"),J12,"")</x:f>
      </x:c>
    </x:row>
    <x:row r="15" ht="15" hidden="0">
      <x:c r="A15" s="3" t="s">
        <x:v>89</x:v>
      </x:c>
    </x:row>
    <x:row r="16" ht="30" hidden="0" customHeight="1">
      <x:c r="A16" s="10" t="s">
        <x:v>90</x:v>
      </x:c>
      <x:c r="B16" s="23" t="n">
        <x:f aca="0">SUM(D5:D12)</x:f>
        <x:v>24</x:v>
      </x:c>
      <x:c r="D16" s="38"/>
      <x:c r="E16" s="39"/>
      <x:c r="F16" s="39"/>
      <x:c r="G16" s="39"/>
      <x:c r="H16" s="39"/>
      <x:c r="I16" s="39"/>
      <x:c r="J16" s="39"/>
      <x:c r="K16" s="39"/>
      <x:c r="L16" s="39"/>
    </x:row>
    <x:row r="17" ht="30" hidden="0" customHeight="1">
      <x:c r="A17" s="12" t="str">
        <x:v>회복량 기준 순환 시간(초)</x:v>
      </x:c>
      <x:c r="B17" s="41" t="n">
        <x:f aca="0">IFERROR(B16/'범례'!$C$23,"")</x:f>
        <x:v>30</x:v>
      </x:c>
      <x:c r="D17" s="38" t="str">
        <x:v>총 코스트/회복량. 실제 첫 순환은 10 참조</x:v>
      </x:c>
      <x:c r="E17" s="39"/>
      <x:c r="F17" s="39"/>
      <x:c r="G17" s="39"/>
      <x:c r="H17" s="39"/>
      <x:c r="I17" s="39"/>
      <x:c r="J17" s="39"/>
      <x:c r="K17" s="39"/>
      <x:c r="L17" s="39"/>
    </x:row>
    <x:row r="18" ht="30" hidden="0" customHeight="1">
      <x:c r="A18" s="10" t="s">
        <x:v>91</x:v>
      </x:c>
      <x:c r="B18" s="22" t="n">
        <x:f aca="0">SUM(E5:E12)</x:f>
        <x:v>8.4</x:v>
      </x:c>
      <x:c r="D18" s="40" t="s">
        <x:v>92</x:v>
      </x:c>
      <x:c r="E18" s="39"/>
      <x:c r="F18" s="39"/>
      <x:c r="G18" s="39"/>
      <x:c r="H18" s="39"/>
      <x:c r="I18" s="39"/>
      <x:c r="J18" s="39"/>
      <x:c r="K18" s="39"/>
      <x:c r="L18" s="39"/>
    </x:row>
    <x:row r="19" ht="30" hidden="0" customHeight="1">
      <x:c r="A19" s="10" t="str">
        <x:v>1체 기준 덱 총 기대 피해</x:v>
      </x:c>
      <x:c r="B19" s="41" t="n">
        <x:f aca="0">SUM(F5:F12)</x:f>
        <x:v>613.2</x:v>
      </x:c>
      <x:c r="D19" s="38"/>
      <x:c r="E19" s="39"/>
      <x:c r="F19" s="39"/>
      <x:c r="G19" s="39"/>
      <x:c r="H19" s="39"/>
      <x:c r="I19" s="39"/>
      <x:c r="J19" s="39"/>
      <x:c r="K19" s="39"/>
      <x:c r="L19" s="39"/>
    </x:row>
    <x:row r="20" ht="30" hidden="0" customHeight="1">
      <x:c r="A20" s="10" t="str">
        <x:v>1체 기준 회복량당 피해/초</x:v>
      </x:c>
      <x:c r="B20" s="41" t="n">
        <x:f aca="0">IFERROR(B19/B17,"")</x:f>
        <x:v>20.44</x:v>
      </x:c>
      <x:c r="D20" s="38" t="str">
        <x:v>기절·초과피해·입력 순서 미포함; 실측 아님</x:v>
      </x:c>
      <x:c r="E20" s="39"/>
      <x:c r="F20" s="39"/>
      <x:c r="G20" s="39"/>
      <x:c r="H20" s="39"/>
      <x:c r="I20" s="39"/>
      <x:c r="J20" s="39"/>
      <x:c r="K20" s="39"/>
      <x:c r="L20" s="39"/>
    </x:row>
    <x:row r="21" ht="30" hidden="0" customHeight="1">
      <x:c r="A21" s="10" t="s">
        <x:v>93</x:v>
      </x:c>
      <x:c r="B21" s="19" t="n">
        <x:f aca="0">IFERROR('범례'!$C$27/B17,"")</x:f>
        <x:v>1.5</x:v>
      </x:c>
      <x:c r="D21" s="38" t="s">
        <x:v>94</x:v>
      </x:c>
      <x:c r="E21" s="39"/>
      <x:c r="F21" s="39"/>
      <x:c r="G21" s="39"/>
      <x:c r="H21" s="39"/>
      <x:c r="I21" s="39"/>
      <x:c r="J21" s="39"/>
      <x:c r="K21" s="39"/>
      <x:c r="L21" s="39"/>
    </x:row>
    <x:row r="22" ht="30" hidden="0" customHeight="1">
      <x:c r="A22" s="10" t="s">
        <x:v>95</x:v>
      </x:c>
      <x:c r="B22" s="23" t="n">
        <x:f aca="0">COUNTIF(C5:C12,"차단")+COUNTIF(C5:C12,"방어")</x:f>
        <x:v>2</x:v>
      </x:c>
      <x:c r="D22" s="38" t="s">
        <x:v>96</x:v>
      </x:c>
      <x:c r="E22" s="39"/>
      <x:c r="F22" s="39"/>
      <x:c r="G22" s="39"/>
      <x:c r="H22" s="39"/>
      <x:c r="I22" s="39"/>
      <x:c r="J22" s="39"/>
      <x:c r="K22" s="39"/>
      <x:c r="L22" s="39"/>
    </x:row>
    <x:row r="23" ht="30" hidden="0" customHeight="1">
      <x:c r="A23" s="10" t="str">
        <x:v>초기 대응 카드 접근 비용/회복량</x:v>
      </x:c>
      <x:c r="B23" s="22" t="n">
        <x:f aca="0">IFERROR(MAX(K5:K12),"")</x:f>
        <x:v>0</x:v>
      </x:c>
      <x:c r="D23" s="38" t="str">
        <x:v>0은 초기 손패 배치. 사용 비용·재등장 제외</x:v>
      </x:c>
      <x:c r="E23" s="39"/>
      <x:c r="F23" s="39"/>
      <x:c r="G23" s="39"/>
      <x:c r="H23" s="39"/>
      <x:c r="I23" s="39"/>
      <x:c r="J23" s="39"/>
      <x:c r="K23" s="39"/>
      <x:c r="L23" s="39"/>
    </x:row>
    <x:row r="24" ht="30" hidden="0" customHeight="1">
      <x:c r="A24" s="10" t="str">
        <x:v>초기 대응 카드 앞 잠금 합</x:v>
      </x:c>
      <x:c r="B24" s="22" t="n">
        <x:f aca="0">IFERROR(MAX(L5:L12),"")</x:f>
        <x:v>0</x:v>
      </x:c>
      <x:c r="D24" s="38" t="str">
        <x:v>마지막 입력 뒤 잠금 포함. 진입 시각과 다름</x:v>
      </x:c>
      <x:c r="E24" s="39"/>
      <x:c r="F24" s="39"/>
      <x:c r="G24" s="39"/>
      <x:c r="H24" s="39"/>
      <x:c r="I24" s="39"/>
      <x:c r="J24" s="39"/>
      <x:c r="K24" s="39"/>
      <x:c r="L24" s="39"/>
    </x:row>
    <x:row r="28" ht="15" hidden="0">
      <x:c r="A28" s="3" t="s">
        <x:v>97</x:v>
      </x:c>
    </x:row>
    <x:row r="29" ht="25" hidden="0" customHeight="1">
      <x:c r="A29" s="38" t="str">
        <x:v>H~L은 초기 배치에서 1번부터 차례로 소비하는 참고 계산. 사용 후 재등장 미포함.</x:v>
      </x:c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 ht="25" hidden="0" customHeight="1">
      <x:c r="A30" s="38" t="str">
        <x:v>① 앞 카드 코스트 합 ② 앞 카드 잠금 합. 실제 입력 시각은 순서별 충전·잠금을 함께 계산.</x:v>
      </x:c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 ht="25" hidden="0" customHeight="1">
      <x:c r="A31" s="38" t="str">
        <x:v>두 합의 최댓값을 실제 대기 시간으로 단정하지 않음. 대상 카드 비용·효과 적용도 별도.</x:v>
      </x:c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 ht="25" hidden="0" customHeight="1">
      <x:c r="A32" s="38" t="str">
        <x:v>예: 코스트 10에서 파이어볼→파이어 필라 입력 0/0.4초. 6번 카드 진입 0.4초, 잠금 종료 1.4초.</x:v>
      </x:c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 ht="25" hidden="0" customHeight="1">
      <x:c r="A33" s="38" t="str">
        <x:v>코스트 0에서 두 카드 비용 5를 모으는 데 6.25초. 손패 진입·다음 입력·효과 시점은 별도.</x:v>
      </x:c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 ht="25" hidden="0" customHeight="1">
      <x:c r="A34" s="38" t="s">
        <x:v>98</x:v>
      </x:c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</x:sheetData>
  <x:mergeCells>
    <x:mergeCell ref="D16:L16"/>
    <x:mergeCell ref="D17:L17"/>
    <x:mergeCell ref="D18:L18"/>
    <x:mergeCell ref="D19:L19"/>
    <x:mergeCell ref="D20:L20"/>
    <x:mergeCell ref="D21:L21"/>
    <x:mergeCell ref="D22:L22"/>
    <x:mergeCell ref="D23:L23"/>
    <x:mergeCell ref="D24:L24"/>
    <x:mergeCell ref="A29:L29"/>
    <x:mergeCell ref="A30:L30"/>
    <x:mergeCell ref="A31:L31"/>
    <x:mergeCell ref="A32:L32"/>
    <x:mergeCell ref="A33:L33"/>
    <x:mergeCell ref="A34:L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6" hidden="0" customWidth="1"/>
    <x:col min="2" max="2" width="12" hidden="0" customWidth="1"/>
    <x:col min="3" max="5" width="10" hidden="0" customWidth="1"/>
    <x:col min="6" max="7" width="12" hidden="0" customWidth="1"/>
    <x:col min="8" max="8" width="11" hidden="0" customWidth="1"/>
    <x:col min="9" max="9" width="17" hidden="0" customWidth="1"/>
    <x:col min="10" max="10" width="44" hidden="0" customWidth="1"/>
  </x:cols>
  <x:sheetData>
    <x:row r="1" ht="16.149999618530273" hidden="0">
      <x:c r="A1" s="15" t="s">
        <x:v>99</x:v>
      </x:c>
    </x:row>
    <x:row r="2" ht="15" hidden="0">
      <x:c r="A2" s="21" t="s">
        <x:v>100</x:v>
      </x:c>
    </x:row>
    <x:row r="4" ht="15" hidden="0" customHeight="1">
      <x:c r="A4" s="8" t="s">
        <x:v>45</x:v>
      </x:c>
      <x:c r="B4" s="8" t="s">
        <x:v>101</x:v>
      </x:c>
      <x:c r="C4" s="16" t="s">
        <x:v>46</x:v>
      </x:c>
      <x:c r="D4" s="8" t="s">
        <x:v>102</x:v>
      </x:c>
      <x:c r="E4" s="8" t="s">
        <x:v>47</x:v>
      </x:c>
      <x:c r="F4" s="8" t="s">
        <x:v>103</x:v>
      </x:c>
      <x:c r="G4" s="8" t="s">
        <x:v>104</x:v>
      </x:c>
      <x:c r="H4" s="8" t="s">
        <x:v>105</x:v>
      </x:c>
      <x:c r="I4" s="37" t="str">
        <x:v>회복량 기준 참고 시간</x:v>
      </x:c>
      <x:c r="J4" s="8" t="s">
        <x:v>106</x:v>
      </x:c>
    </x:row>
    <x:row r="5" ht="15" hidden="0">
      <x:c r="A5" s="17" t="str">
        <x:v>약탈자 A</x:v>
      </x:c>
      <x:c r="B5" s="17" t="s">
        <x:v>107</x:v>
      </x:c>
      <x:c r="C5" s="17" t="n">
        <x:v>350</x:v>
      </x:c>
      <x:c r="D5" s="17" t="n">
        <x:v>20</x:v>
      </x:c>
      <x:c r="E5" s="17" t="n">
        <x:v>0</x:v>
      </x:c>
      <x:c r="F5" s="13" t="n">
        <x:f aca="0">IF(NOT(ISNUMBER(E5)),"",E5/(E5+'범례'!$C$20))</x:f>
        <x:v>0</x:v>
      </x:c>
      <x:c r="G5" s="17" t="n">
        <x:v>2.5</x:v>
      </x:c>
      <x:c r="H5" s="11" t="inlineStr">
        <x:is>
          <x:t xml:space="preserve">가능</x:t>
        </x:is>
      </x:c>
      <x:c r="I5" s="22" t="n">
        <x:f aca="0">IFERROR(C5/'덱시뮬'!$B$20,"")</x:f>
        <x:v>17.123287671232877</x:v>
      </x:c>
      <x:c r="J5" s="20" t="str">
        <x:v>일반 공격. 필요하면 차단 가능</x:v>
      </x:c>
    </x:row>
    <x:row r="6" ht="15" hidden="0">
      <x:c r="A6" s="17" t="str">
        <x:v>궁병 B</x:v>
      </x:c>
      <x:c r="B6" s="17" t="s">
        <x:v>108</x:v>
      </x:c>
      <x:c r="C6" s="17" t="n">
        <x:v>300</x:v>
      </x:c>
      <x:c r="D6" s="17" t="n">
        <x:v>40</x:v>
      </x:c>
      <x:c r="E6" s="17" t="n">
        <x:v>0</x:v>
      </x:c>
      <x:c r="F6" s="13" t="n">
        <x:f aca="0">IF(NOT(ISNUMBER(E6)),"",E6/(E6+'범례'!$C$20))</x:f>
        <x:v>0</x:v>
      </x:c>
      <x:c r="G6" s="17" t="n">
        <x:v>3</x:v>
      </x:c>
      <x:c r="H6" s="17" t="s">
        <x:v>109</x:v>
      </x:c>
      <x:c r="I6" s="22" t="n">
        <x:f aca="0">IFERROR(C6/'덱시뮬'!$B$20,"")</x:f>
        <x:v>14.677103718199607</x:v>
      </x:c>
      <x:c r="J6" s="20" t="s">
        <x:v>110</x:v>
      </x:c>
    </x:row>
    <x:row r="7" ht="15" hidden="0">
      <x:c r="A7" s="17" t="str">
        <x:v>우두머리 C</x:v>
      </x:c>
      <x:c r="B7" s="17" t="s">
        <x:v>111</x:v>
      </x:c>
      <x:c r="C7" s="17" t="n">
        <x:v>500</x:v>
      </x:c>
      <x:c r="D7" s="17" t="n">
        <x:v>240</x:v>
      </x:c>
      <x:c r="E7" s="17" t="n">
        <x:v>0</x:v>
      </x:c>
      <x:c r="F7" s="13" t="n">
        <x:f aca="0">IF(NOT(ISNUMBER(E7)),"",E7/(E7+'범례'!$C$20))</x:f>
        <x:v>0</x:v>
      </x:c>
      <x:c r="G7" s="17" t="n">
        <x:v>4</x:v>
      </x:c>
      <x:c r="H7" s="17" t="s">
        <x:v>112</x:v>
      </x:c>
      <x:c r="I7" s="22" t="n">
        <x:f aca="0">IFERROR(C7/'덱시뮬'!$B$20,"")</x:f>
        <x:v>24.46183953033268</x:v>
      </x:c>
      <x:c r="J7" s="20" t="str">
        <x:v>빨강: 방어력 20 기준 200. 방어도 보유 시 100 후 흡수</x:v>
      </x:c>
    </x:row>
    <x:row r="8" ht="15" hidden="0">
      <x:c r="A8" s="17" t="str">
        <x:v>잡몹 D</x:v>
      </x:c>
      <x:c r="B8" s="17" t="str">
        <x:v>초록·주황·빨강</x:v>
      </x:c>
      <x:c r="C8" s="17" t="n">
        <x:v>800</x:v>
      </x:c>
      <x:c r="D8" s="17" t="n">
        <x:v>150</x:v>
      </x:c>
      <x:c r="E8" s="17" t="n">
        <x:v>0</x:v>
      </x:c>
      <x:c r="F8" s="13" t="n">
        <x:f aca="0">IF(NOT(ISNUMBER(E8)),"",E8/(E8+'범례'!$C$20))</x:f>
        <x:v>0</x:v>
      </x:c>
      <x:c r="G8" s="17" t="n">
        <x:v>3.5</x:v>
      </x:c>
      <x:c r="H8" s="17" t="str">
        <x:v>초록·주황 가능</x:v>
      </x:c>
      <x:c r="I8" s="22" t="n">
        <x:f aca="0">IF(NOT(ISNUMBER(C8)),"",C8/'덱시뮬'!$B$20)</x:f>
        <x:v>39.138943248532286</x:v>
      </x:c>
      <x:c r="J8" s="20" t="str">
        <x:v>D 데이터 생성. 전투 편성 미연결</x:v>
      </x:c>
    </x:row>
    <x:row r="9" ht="15" hidden="0">
      <x:c r="A9" s="17"/>
      <x:c r="B9" s="17"/>
      <x:c r="C9" s="17"/>
      <x:c r="D9" s="17"/>
      <x:c r="E9" s="17"/>
      <x:c r="F9" s="13" t="str">
        <x:f aca="0">IF(NOT(ISNUMBER(E9)),"",E9/(E9+'범례'!$C$20))</x:f>
      </x:c>
      <x:c r="G9" s="17"/>
      <x:c r="H9" s="17"/>
      <x:c r="I9" s="22" t="str">
        <x:f aca="0">IF(NOT(ISNUMBER(C9)),"",C9/'덱시뮬'!$B$20)</x:f>
      </x:c>
      <x:c r="J9" s="20"/>
    </x:row>
    <x:row r="10" ht="15" hidden="0">
      <x:c r="A10" s="17"/>
      <x:c r="B10" s="17"/>
      <x:c r="C10" s="17"/>
      <x:c r="D10" s="17"/>
      <x:c r="E10" s="17"/>
      <x:c r="F10" s="13" t="str">
        <x:f aca="0">IF(NOT(ISNUMBER(E10)),"",E10/(E10+'범례'!$C$20))</x:f>
      </x:c>
      <x:c r="G10" s="17"/>
      <x:c r="H10" s="17"/>
      <x:c r="I10" s="22" t="str">
        <x:f aca="0">IF(NOT(ISNUMBER(C10)),"",C10/'덱시뮬'!$B$20)</x:f>
      </x:c>
      <x:c r="J10" s="20"/>
    </x:row>
    <x:row r="13" ht="15" hidden="0">
      <x:c r="A13" s="28" t="str">
        <x:v>현재 HP·피해·명칭: 10 A30·A33·A38. 튜토리얼·보스·오브는 04 참조.</x:v>
      </x:c>
    </x:row>
    <x:row r="14" ht="15" hidden="0">
      <x:c r="A14" s="2" t="str">
        <x:v>B·C·D도 초록 보유. 피해·시전은 주 공격 기준. 전체 패턴은 04 참조.</x:v>
      </x:c>
    </x:row>
    <x:row r="15" ht="15" hidden="0">
      <x:c r="A15" s="14" t="str">
        <x:v>I열은 HP/회복량 기준 평균 피해. 카드 순서·피격·기절을 반영한 실제 처치 시간이 아님.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2" hidden="0" customWidth="1"/>
    <x:col min="2" max="2" width="20" hidden="0" customWidth="1"/>
    <x:col min="3" max="4" width="18" hidden="0" customWidth="1"/>
    <x:col min="5" max="6" width="15" hidden="0" customWidth="1"/>
    <x:col min="7" max="7" width="12" hidden="0" customWidth="1"/>
    <x:col min="8" max="8" width="34" hidden="0" customWidth="1"/>
  </x:cols>
  <x:sheetData>
    <x:row r="1" ht="20.100000381469727" hidden="0">
      <x:c r="A1" s="15" t="s">
        <x:v>113</x:v>
      </x:c>
    </x:row>
    <x:row r="2" ht="15" hidden="0">
      <x:c r="A2" s="21" t="str">
        <x:v>튜토리얼 뒤 HP·포션 초기화. 런 예산은 일반 4전투만 합산. 피해 입력 전 결과 미확인.</x:v>
      </x:c>
    </x:row>
    <x:row r="4" ht="31.5" hidden="0" customHeight="1">
      <x:c r="A4" s="8" t="s">
        <x:v>114</x:v>
      </x:c>
      <x:c r="B4" s="8" t="s">
        <x:v>115</x:v>
      </x:c>
      <x:c r="C4" s="8" t="s">
        <x:v>116</x:v>
      </x:c>
      <x:c r="D4" s="8" t="s">
        <x:v>117</x:v>
      </x:c>
      <x:c r="E4" s="8" t="s">
        <x:v>118</x:v>
      </x:c>
      <x:c r="F4" s="8" t="s">
        <x:v>119</x:v>
      </x:c>
      <x:c r="G4" s="8" t="s">
        <x:v>120</x:v>
      </x:c>
      <x:c r="H4" s="8" t="s">
        <x:v>121</x:v>
      </x:c>
    </x:row>
    <x:row r="5" ht="15" hidden="0">
      <x:c r="A5" s="27" t="n">
        <x:v>0</x:v>
      </x:c>
      <x:c r="B5" s="20" t="str">
        <x:v>튜토리얼</x:v>
      </x:c>
      <x:c r="C5" s="17"/>
      <x:c r="D5" s="17"/>
      <x:c r="E5" s="23" t="str">
        <x:f aca="0">IF(NOT(ISNUMBER(C5)),"",'직업'!$B$5-C5)</x:f>
      </x:c>
      <x:c r="F5" s="23" t="str">
        <x:f aca="0">IF(NOT(ISNUMBER(D5)),"",'직업'!$B$5-D5)</x:f>
      </x:c>
      <x:c r="G5" s="27" t="str">
        <x:f aca="0">IF(NOT(ISNUMBER(F5)),"",IF(F5&lt;=0,"사망",IF(F5&lt;100,"위험","안전")))</x:f>
      </x:c>
      <x:c r="H5" s="20" t="str">
        <x:v>종료 후 초기화. 아래 런 예산에서 제외</x:v>
      </x:c>
    </x:row>
    <x:row r="6" ht="15" hidden="0">
      <x:c r="A6" s="27" t="n">
        <x:v>1</x:v>
      </x:c>
      <x:c r="B6" s="20" t="str">
        <x:v>A+B</x:v>
      </x:c>
      <x:c r="C6" s="17"/>
      <x:c r="D6" s="17"/>
      <x:c r="E6" s="23" t="str">
        <x:f aca="0">IF(NOT(ISNUMBER(C6)),"",'직업'!$B$5-C6)</x:f>
      </x:c>
      <x:c r="F6" s="23" t="str">
        <x:f aca="0">IF(NOT(ISNUMBER(D6)),"",'직업'!$B$5-D6)</x:f>
      </x:c>
      <x:c r="G6" s="27" t="str">
        <x:f aca="0">IF(NOT(ISNUMBER(F6)),"",IF(F6&lt;=0,"사망",IF(F6&lt;100,"위험","안전")))</x:f>
      </x:c>
      <x:c r="H6" s="20"/>
    </x:row>
    <x:row r="7" ht="15" hidden="0">
      <x:c r="A7" s="27" t="n">
        <x:v>2</x:v>
      </x:c>
      <x:c r="B7" s="20" t="str">
        <x:v>C</x:v>
      </x:c>
      <x:c r="C7" s="17"/>
      <x:c r="D7" s="17"/>
      <x:c r="E7" s="23" t="str">
        <x:f aca="0">IF(OR(NOT(ISNUMBER(C7)),NOT(ISNUMBER(E6))),"",E6-C7)</x:f>
      </x:c>
      <x:c r="F7" s="23" t="str">
        <x:f aca="0">IF(OR(NOT(ISNUMBER(D7)),NOT(ISNUMBER(F6))),"",F6-D7)</x:f>
      </x:c>
      <x:c r="G7" s="27" t="str">
        <x:f aca="0">IF(NOT(ISNUMBER(F7)),"",IF(F7&lt;=0,"사망",IF(F7&lt;100,"위험","안전")))</x:f>
      </x:c>
      <x:c r="H7" s="20"/>
    </x:row>
    <x:row r="8" ht="15" hidden="0">
      <x:c r="A8" s="27" t="n">
        <x:v>3</x:v>
      </x:c>
      <x:c r="B8" s="20" t="str">
        <x:v>A+B+C</x:v>
      </x:c>
      <x:c r="C8" s="17"/>
      <x:c r="D8" s="17"/>
      <x:c r="E8" s="23" t="str">
        <x:f aca="0">IF(OR(NOT(ISNUMBER(C8)),NOT(ISNUMBER(E7))),"",E7-C8)</x:f>
      </x:c>
      <x:c r="F8" s="23" t="str">
        <x:f aca="0">IF(OR(NOT(ISNUMBER(D8)),NOT(ISNUMBER(F7))),"",F7-D8)</x:f>
      </x:c>
      <x:c r="G8" s="27" t="str">
        <x:f aca="0">IF(NOT(ISNUMBER(F8)),"",IF(F8&lt;=0,"사망",IF(F8&lt;100,"위험","안전")))</x:f>
      </x:c>
      <x:c r="H8" s="20"/>
    </x:row>
    <x:row r="9" ht="15" hidden="0">
      <x:c r="A9" s="27" t="n">
        <x:v>4</x:v>
      </x:c>
      <x:c r="B9" s="20" t="str">
        <x:v>마법사+오브</x:v>
      </x:c>
      <x:c r="C9" s="17"/>
      <x:c r="D9" s="17"/>
      <x:c r="E9" s="23" t="str">
        <x:f aca="0">IF(OR(NOT(ISNUMBER(C9)),NOT(ISNUMBER(E8))),"",E8-C9)</x:f>
      </x:c>
      <x:c r="F9" s="23" t="str">
        <x:f aca="0">IF(OR(NOT(ISNUMBER(D9)),NOT(ISNUMBER(F8))),"",F8-D9)</x:f>
      </x:c>
      <x:c r="G9" s="27" t="str">
        <x:f aca="0">IF(NOT(ISNUMBER(F9)),"",IF(F9&lt;=0,"사망",IF(F9&lt;100,"위험","안전")))</x:f>
      </x:c>
      <x:c r="H9" s="20"/>
    </x:row>
    <x:row r="12" ht="15" hidden="0">
      <x:c r="A12" s="3" t="s">
        <x:v>89</x:v>
      </x:c>
    </x:row>
    <x:row r="13" ht="30" hidden="0" customHeight="1">
      <x:c r="A13" s="10" t="s">
        <x:v>122</x:v>
      </x:c>
      <x:c r="B13" s="23" t="str">
        <x:f aca="0">IF(COUNT(C6:C9)&lt;4,"",SUM(C6:C9))</x:f>
      </x:c>
      <x:c r="D13" s="38"/>
      <x:c r="E13" s="39"/>
      <x:c r="F13" s="39"/>
      <x:c r="G13" s="39"/>
      <x:c r="H13" s="39"/>
    </x:row>
    <x:row r="14" ht="30" hidden="0" customHeight="1">
      <x:c r="A14" s="10" t="s">
        <x:v>123</x:v>
      </x:c>
      <x:c r="B14" s="23" t="str">
        <x:f aca="0">IF(COUNT(D6:D9)&lt;4,"",SUM(D6:D9))</x:f>
      </x:c>
      <x:c r="D14" s="38"/>
      <x:c r="E14" s="39"/>
      <x:c r="F14" s="39"/>
      <x:c r="G14" s="39"/>
      <x:c r="H14" s="39"/>
    </x:row>
    <x:row r="15" ht="30" hidden="0" customHeight="1">
      <x:c r="A15" s="10" t="s">
        <x:v>124</x:v>
      </x:c>
      <x:c r="B15" s="23" t="n">
        <x:f aca="0">IFERROR(INT('직업'!$B$5*0.3+0.5)*'범례'!$C$29,"")</x:f>
        <x:v>450</x:v>
      </x:c>
      <x:c r="D15" s="38" t="str">
        <x:v>기본 포션 3개 × 최대 HP 30%. PS01 제외</x:v>
      </x:c>
      <x:c r="E15" s="39"/>
      <x:c r="F15" s="39"/>
      <x:c r="G15" s="39"/>
      <x:c r="H15" s="39"/>
    </x:row>
    <x:row r="16" ht="30" hidden="0" customHeight="1">
      <x:c r="A16" s="10" t="s">
        <x:v>125</x:v>
      </x:c>
      <x:c r="B16" s="23" t="n">
        <x:f aca="0">IFERROR('직업'!$B$5+B15,"")</x:f>
        <x:v>950</x:v>
      </x:c>
      <x:c r="D16" s="38" t="str">
        <x:v>기본 HP+포션. 초과 회복 손실 없는 이론 상한</x:v>
      </x:c>
      <x:c r="E16" s="39"/>
      <x:c r="F16" s="39"/>
      <x:c r="G16" s="39"/>
      <x:c r="H16" s="39"/>
    </x:row>
    <x:row r="17" ht="30" hidden="0" customHeight="1">
      <x:c r="A17" s="10" t="s">
        <x:v>126</x:v>
      </x:c>
      <x:c r="B17" s="23" t="str">
        <x:f aca="0">IF(NOT(ISNUMBER(B13)),"",B16-B13)</x:f>
      </x:c>
      <x:c r="D17" s="38" t="s">
        <x:v>127</x:v>
      </x:c>
      <x:c r="E17" s="39"/>
      <x:c r="F17" s="39"/>
      <x:c r="G17" s="39"/>
      <x:c r="H17" s="39"/>
    </x:row>
    <x:row r="18" ht="30" hidden="0" customHeight="1">
      <x:c r="A18" s="10" t="s">
        <x:v>128</x:v>
      </x:c>
      <x:c r="B18" s="23" t="str">
        <x:f aca="0">IF(NOT(ISNUMBER(B14)),"",B16-B14)</x:f>
      </x:c>
      <x:c r="D18" s="38" t="s">
        <x:v>129</x:v>
      </x:c>
      <x:c r="E18" s="39"/>
      <x:c r="F18" s="39"/>
      <x:c r="G18" s="39"/>
      <x:c r="H18" s="39"/>
    </x:row>
    <x:row r="19" ht="30" hidden="0" customHeight="1">
      <x:c r="A19" s="10" t="s">
        <x:v>130</x:v>
      </x:c>
      <x:c r="B19" s="23" t="str">
        <x:f aca="0">IF(OR(NOT(ISNUMBER(B13)),NOT(ISNUMBER(B14))),"",B14-B13)</x:f>
      </x:c>
      <x:c r="D19" s="38" t="s">
        <x:v>131</x:v>
      </x:c>
      <x:c r="E19" s="39"/>
      <x:c r="F19" s="39"/>
      <x:c r="G19" s="39"/>
      <x:c r="H19" s="39"/>
    </x:row>
    <x:row r="22" ht="15" hidden="0">
      <x:c r="A22" s="3" t="s">
        <x:v>132</x:v>
      </x:c>
    </x:row>
    <x:row r="23" ht="25" hidden="0" customHeight="1">
      <x:c r="A23" s="38" t="str">
        <x:v>목표: 완벽 대응은 포션 절약, 평범 대응은 소진. 입력 없는 결과는 미확인.</x:v>
      </x:c>
      <x:c r="B23" s="39"/>
      <x:c r="C23" s="39"/>
      <x:c r="D23" s="39"/>
      <x:c r="E23" s="39"/>
      <x:c r="F23" s="39"/>
      <x:c r="G23" s="39"/>
      <x:c r="H23" s="39"/>
    </x:row>
    <x:row r="24" ht="25" hidden="0" customHeight="1">
      <x:c r="A24" s="40" t="s">
        <x:v>133</x:v>
      </x:c>
      <x:c r="B24" s="39"/>
      <x:c r="C24" s="39"/>
      <x:c r="D24" s="39"/>
      <x:c r="E24" s="39"/>
      <x:c r="F24" s="39"/>
      <x:c r="G24" s="39"/>
      <x:c r="H24" s="39"/>
    </x:row>
    <x:row r="25" ht="25" hidden="0" customHeight="1">
      <x:c r="A25" s="40" t="s">
        <x:v>134</x:v>
      </x:c>
      <x:c r="B25" s="39"/>
      <x:c r="C25" s="39"/>
      <x:c r="D25" s="39"/>
      <x:c r="E25" s="39"/>
      <x:c r="F25" s="39"/>
      <x:c r="G25" s="39"/>
      <x:c r="H25" s="39"/>
    </x:row>
  </x:sheetData>
  <x:mergeCells>
    <x:mergeCell ref="D13:H13"/>
    <x:mergeCell ref="D14:H14"/>
    <x:mergeCell ref="D15:H15"/>
    <x:mergeCell ref="D16:H16"/>
    <x:mergeCell ref="D17:H17"/>
    <x:mergeCell ref="D18:H18"/>
    <x:mergeCell ref="D19:H19"/>
    <x:mergeCell ref="A23:H23"/>
    <x:mergeCell ref="A24:H24"/>
    <x:mergeCell ref="A25:H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7" hidden="0" customWidth="1"/>
    <x:col min="2" max="2" width="20" hidden="0" customWidth="1"/>
    <x:col min="3" max="4" width="13" hidden="0" customWidth="1"/>
    <x:col min="5" max="6" width="10" hidden="0" customWidth="1"/>
    <x:col min="7" max="7" width="20" hidden="0" customWidth="1"/>
    <x:col min="8" max="8" width="50" hidden="0" customWidth="1"/>
  </x:cols>
  <x:sheetData>
    <x:row r="1" ht="16.149999618530273" hidden="0">
      <x:c r="A1" s="15" t="s">
        <x:v>135</x:v>
      </x:c>
    </x:row>
    <x:row r="2" ht="15" hidden="0">
      <x:c r="A2" s="21" t="str">
        <x:v>현재 구성: 튜토리얼→A+B→C→A+B+C→보스. 5행은 예시, 실측은 07에 조건과 함께 기록.</x:v>
      </x:c>
    </x:row>
    <x:row r="4" ht="31.5" hidden="0" customHeight="1">
      <x:c r="A4" s="8" t="s">
        <x:v>136</x:v>
      </x:c>
      <x:c r="B4" s="8" t="s">
        <x:v>115</x:v>
      </x:c>
      <x:c r="C4" s="8" t="s">
        <x:v>137</x:v>
      </x:c>
      <x:c r="D4" s="8" t="s">
        <x:v>138</x:v>
      </x:c>
      <x:c r="E4" s="8" t="s">
        <x:v>139</x:v>
      </x:c>
      <x:c r="F4" s="8" t="s">
        <x:v>140</x:v>
      </x:c>
      <x:c r="G4" s="8" t="s">
        <x:v>141</x:v>
      </x:c>
      <x:c r="H4" s="8" t="s">
        <x:v>142</x:v>
      </x:c>
    </x:row>
    <x:row r="5" ht="15" hidden="0">
      <x:c r="A5" s="29" t="n">
        <x:v>1</x:v>
      </x:c>
      <x:c r="B5" s="30" t="s">
        <x:v>143</x:v>
      </x:c>
      <x:c r="C5" s="29" t="n">
        <x:v>40</x:v>
      </x:c>
      <x:c r="D5" s="29" t="n">
        <x:v>58</x:v>
      </x:c>
      <x:c r="E5" s="31" t="n">
        <x:f aca="0">IF(OR(NOT(ISNUMBER(C5)),NOT(ISNUMBER(D5))),"",D5-C5)</x:f>
        <x:v>18</x:v>
      </x:c>
      <x:c r="F5" s="32" t="n">
        <x:f aca="0">IF(OR(NOT(ISNUMBER(C5)),NOT(ISNUMBER(D5)),C5=0),"",(D5-C5)/C5)</x:f>
        <x:v>0.45</x:v>
      </x:c>
      <x:c r="G5" s="33" t="s">
        <x:v>144</x:v>
      </x:c>
      <x:c r="H5" s="33" t="s">
        <x:v>145</x:v>
      </x:c>
    </x:row>
    <x:row r="6" ht="15" hidden="0">
      <x:c r="A6" s="17" t="n">
        <x:v>0</x:v>
      </x:c>
      <x:c r="B6" s="20" t="str">
        <x:v>튜토리얼</x:v>
      </x:c>
      <x:c r="C6" s="17"/>
      <x:c r="D6" s="17"/>
      <x:c r="E6" s="23" t="str">
        <x:f aca="0">IF(OR(NOT(ISNUMBER(C6)),NOT(ISNUMBER(D6))),"",D6-C6)</x:f>
      </x:c>
      <x:c r="F6" s="13" t="str">
        <x:f aca="0">IF(OR(NOT(ISNUMBER(C6)),NOT(ISNUMBER(D6)),C6=0),"",(D6-C6)/C6)</x:f>
      </x:c>
      <x:c r="G6" s="20"/>
      <x:c r="H6" s="20"/>
    </x:row>
    <x:row r="7" ht="15" hidden="0">
      <x:c r="A7" s="17" t="n">
        <x:v>1</x:v>
      </x:c>
      <x:c r="B7" s="20" t="str">
        <x:v>A+B</x:v>
      </x:c>
      <x:c r="C7" s="17"/>
      <x:c r="D7" s="17"/>
      <x:c r="E7" s="23" t="str">
        <x:f aca="0">IF(OR(NOT(ISNUMBER(C7)),NOT(ISNUMBER(D7))),"",D7-C7)</x:f>
      </x:c>
      <x:c r="F7" s="13" t="str">
        <x:f aca="0">IF(OR(NOT(ISNUMBER(C7)),NOT(ISNUMBER(D7)),C7=0),"",(D7-C7)/C7)</x:f>
      </x:c>
      <x:c r="G7" s="20"/>
      <x:c r="H7" s="20"/>
    </x:row>
    <x:row r="8" ht="15" hidden="0">
      <x:c r="A8" s="17" t="n">
        <x:v>2</x:v>
      </x:c>
      <x:c r="B8" s="20" t="str">
        <x:v>C</x:v>
      </x:c>
      <x:c r="C8" s="17"/>
      <x:c r="D8" s="17"/>
      <x:c r="E8" s="23" t="str">
        <x:f aca="0">IF(OR(NOT(ISNUMBER(C8)),NOT(ISNUMBER(D8))),"",D8-C8)</x:f>
      </x:c>
      <x:c r="F8" s="13" t="str">
        <x:f aca="0">IF(OR(NOT(ISNUMBER(C8)),NOT(ISNUMBER(D8)),C8=0),"",(D8-C8)/C8)</x:f>
      </x:c>
      <x:c r="G8" s="20"/>
      <x:c r="H8" s="20"/>
    </x:row>
    <x:row r="9" ht="15" hidden="0">
      <x:c r="A9" s="17" t="n">
        <x:v>3</x:v>
      </x:c>
      <x:c r="B9" s="20" t="str">
        <x:v>A+B+C</x:v>
      </x:c>
      <x:c r="C9" s="17"/>
      <x:c r="D9" s="17"/>
      <x:c r="E9" s="23" t="str">
        <x:f aca="0">IF(OR(NOT(ISNUMBER(C9)),NOT(ISNUMBER(D9))),"",D9-C9)</x:f>
      </x:c>
      <x:c r="F9" s="13" t="str">
        <x:f aca="0">IF(OR(NOT(ISNUMBER(C9)),NOT(ISNUMBER(D9)),C9=0),"",(D9-C9)/C9)</x:f>
      </x:c>
      <x:c r="G9" s="20"/>
      <x:c r="H9" s="20"/>
    </x:row>
    <x:row r="10" ht="15" hidden="0">
      <x:c r="A10" s="17" t="n">
        <x:v>4</x:v>
      </x:c>
      <x:c r="B10" s="20" t="str">
        <x:v>마법사+오브</x:v>
      </x:c>
      <x:c r="C10" s="17"/>
      <x:c r="D10" s="17"/>
      <x:c r="E10" s="23" t="str">
        <x:f aca="0">IF(OR(NOT(ISNUMBER(C10)),NOT(ISNUMBER(D10))),"",D10-C10)</x:f>
      </x:c>
      <x:c r="F10" s="13" t="str">
        <x:f aca="0">IF(OR(NOT(ISNUMBER(C10)),NOT(ISNUMBER(D10)),C10=0),"",(D10-C10)/C10)</x:f>
      </x:c>
      <x:c r="G10" s="20"/>
      <x:c r="H10" s="20"/>
    </x:row>
    <x:row r="11" ht="15" hidden="0">
      <x:c r="A11" s="17"/>
      <x:c r="B11" s="20"/>
      <x:c r="C11" s="17"/>
      <x:c r="D11" s="17"/>
      <x:c r="E11" s="23" t="str">
        <x:f aca="0">IF(OR(NOT(ISNUMBER(C11)),NOT(ISNUMBER(D11))),"",D11-C11)</x:f>
      </x:c>
      <x:c r="F11" s="13" t="str">
        <x:f aca="0">IF(OR(NOT(ISNUMBER(C11)),NOT(ISNUMBER(D11)),C11=0),"",(D11-C11)/C11)</x:f>
      </x:c>
      <x:c r="G11" s="20"/>
      <x:c r="H11" s="20"/>
    </x:row>
    <x:row r="14" ht="39.54999923706055" hidden="0">
      <x:c r="A14" s="3" t="s">
        <x:v>146</x:v>
      </x:c>
      <x:c r="C14" s="27" t="str">
        <x:f aca="0">IF(COUNT(C6:C10)&lt;5,"",SUM(C6:C10))</x:f>
      </x:c>
      <x:c r="E14" s="25" t="str">
        <x:v>목표 미입력. 초기 시간 목표는 재검토 전</x:v>
      </x:c>
    </x:row>
    <x:row r="15" ht="15" hidden="0">
      <x:c r="A15" s="3" t="s">
        <x:v>147</x:v>
      </x:c>
      <x:c r="C15" s="27" t="str">
        <x:f aca="0">IF(COUNT(D6:D10)&lt;5,"",SUM(D6:D10))</x:f>
      </x:c>
    </x:row>
  </x:sheetData>
  <x:pageMargins left="0.7" right="0.7" top="0.75" bottom="0.75" header="0.3" footer="0.3"/>
</x:worksheet>
</file>