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ab69b9e6447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4c729fbfa5454cda"/>
    <x:sheet xmlns:r="http://schemas.openxmlformats.org/officeDocument/2006/relationships" name="직업" sheetId="2" r:id="R623dcf9085d1448a"/>
    <x:sheet xmlns:r="http://schemas.openxmlformats.org/officeDocument/2006/relationships" name="스킬" sheetId="3" r:id="Rb402684eb8164c64"/>
    <x:sheet xmlns:r="http://schemas.openxmlformats.org/officeDocument/2006/relationships" name="덱시뮬" sheetId="4" r:id="R3cd2c215fdc44952"/>
    <x:sheet xmlns:r="http://schemas.openxmlformats.org/officeDocument/2006/relationships" name="적" sheetId="5" r:id="R99ac07ec9c814d27"/>
    <x:sheet xmlns:r="http://schemas.openxmlformats.org/officeDocument/2006/relationships" name="HP예산" sheetId="6" r:id="R30e7dee9b89d498d"/>
    <x:sheet xmlns:r="http://schemas.openxmlformats.org/officeDocument/2006/relationships" name="인카운터" sheetId="7" r:id="R7684ec5e80244a16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<x:sst xmlns:x="http://schemas.openxmlformats.org/spreadsheetml/2006/main">
  <x:si>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</x:si>
  <x:si>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</x:si>
  <x:si>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</x:si>
  <x:si>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</x:si>
  <x:si>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</x:si>
  <x:si>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</x:si>
  <x:si>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</x:si>
  <x:si>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</x:si>
  <x:si>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</x:si>
  <x:si>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</x:si>
  <x:si>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</x:si>
  <x:si>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</x:si>
  <x:si>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</x:si>
  <x:si>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r>
      <x:rPr>
        <x:sz val="10"/>
        <x:rFont val="Noto Sans CJK SC"/>
        <x:family val="2"/>
      </x:rPr>
      <x:t xml:space="preserve">스킬 풀 </x:t>
    </x:r>
    <x:r>
      <x:rPr>
        <x:sz val="10"/>
        <x:rFont val="Arial"/>
      </x:rPr>
      <x:t xml:space="preserve">14</x:t>
    </x:r>
    <x:r>
      <x:rPr>
        <x:sz val="10"/>
        <x:rFont val="Noto Sans CJK SC"/>
        <x:family val="2"/>
      </x:rPr>
      <x:t xml:space="preserve">종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코스트당 </x:t>
    </x:r>
    <x:r>
      <x:rPr>
        <x:sz val="10"/>
        <x:rFont val="Arial"/>
      </x:rPr>
      <x:t xml:space="preserve">/ </x:t>
    </x:r>
    <x:r>
      <x:rPr>
        <x:sz val="10"/>
        <x:rFont val="Noto Sans CJK SC"/>
        <x:family val="2"/>
      </x:rPr>
      <x:t xml:space="preserve">시간당 기대 피해가 자동 계산됨</x:t>
    </x:r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</x:si>
  <x:si>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</x:si>
  <x:si>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</x:si>
  <x:si>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</x:si>
  <x:si>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r>
      <x:rPr>
        <x:sz val="10"/>
        <x:rFont val="Noto Sans CJK SC"/>
        <x:family val="2"/>
      </x:rPr>
      <x:t xml:space="preserve">적 </x:t>
    </x:r>
    <x:r>
      <x:rPr>
        <x:sz val="10"/>
        <x:rFont val="Arial"/>
      </x:rPr>
      <x:t xml:space="preserve">4</x:t>
    </x:r>
    <x:r>
      <x:rPr>
        <x:sz val="10"/>
        <x:rFont val="Noto Sans CJK SC"/>
        <x:family val="2"/>
      </x:rPr>
      <x:t xml:space="preserve">종 </x:t>
    </x:r>
    <x:r>
      <x:rPr>
        <x:sz val="10"/>
        <x:rFont val="Arial"/>
      </x:rPr>
      <x:t xml:space="preserve">+ </x:t>
    </x:r>
    <x:r>
      <x:rPr>
        <x:sz val="10"/>
        <x:rFont val="Noto Sans CJK SC"/>
        <x:family val="2"/>
      </x:rPr>
      <x:t xml:space="preserve">보스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담당 색상별 스펙</x:t>
    </x:r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</x:si>
  <x:si>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</x:si>
  <x:si>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</x:si>
  <x:si>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</x:si>
  <x:si>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</x:si>
  <x:si>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</x:si>
  <x:si>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</x:si>
  <x:si>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</x:si>
  <x:si>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</x:si>
  <x:si>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</x:si>
  <x:si>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</x:si>
  <x:si>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</x:si>
  <x:si>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</x:si>
  <x:si>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</x:si>
  <x:si>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</x:si>
  <x:si>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</x:si>
  <x:si>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</x:si>
  <x:si>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</x:si>
  <x:si>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</x:si>
  <x:si>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</x:si>
  <x:si>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</x:si>
  <x:si>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</x:si>
  <x:si>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</x:si>
  <x:si>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</x:si>
  <x:si>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</x:si>
  <x:si>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</x:si>
  <x:si>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</x:si>
  <x:si>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</x:si>
  <x:si>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포션 횟수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런 전체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</x:si>
  <x:si>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최대 </x:t>
    </x:r>
    <x:r>
      <x:rPr>
        <x:sz val="1000"/>
        <x:color rgb="FF000000"/>
        <x:rFont val="Arial"/>
      </x:rPr>
      <x:t xml:space="preserve">HP</x:t>
    </x:r>
    <x:r>
      <x:rPr>
        <x:sz val="1000"/>
        <x:color rgb="FF000000"/>
        <x:rFont val="Noto Sans CJK SC"/>
        <x:family val="2"/>
      </x:rPr>
      <x:t xml:space="preserve">의 </x:t>
    </x:r>
    <x:r>
      <x:rPr>
        <x:sz val="1000"/>
        <x:color rgb="FF000000"/>
        <x:rFont val="Arial"/>
      </x:rPr>
      <x:t xml:space="preserve">50%</x:t>
    </x:r>
    <x:r>
      <x:rPr>
        <x:sz val="1000"/>
        <x:color rgb="FF000000"/>
        <x:rFont val="Noto Sans CJK SC"/>
        <x:family val="2"/>
      </x:rPr>
      <x:t xml:space="preserve">씩 회복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</x:si>
  <x:si>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A8)</x:t>
    </x:r>
  </x:si>
  <x:si>
    <x:t xml:space="preserve">잡몹전 평균 적 수</x:t>
  </x:si>
  <x:si>
    <x:t xml:space="preserve">광역기 실효 피해 계산용</x:t>
  </x:si>
  <x:si>
    <x:r>
      <x:rPr>
        <x:sz val="1000"/>
        <x:color rgb="FF000000"/>
        <x:rFont val="Noto Sans CJK SC"/>
        <x:family val="2"/>
      </x:rPr>
      <x:t xml:space="preserve">인카운터 </x:t>
    </x:r>
    <x:r>
      <x:rPr>
        <x:sz val="1000"/>
        <x:color rgb="FF000000"/>
        <x:rFont val="Arial"/>
      </x:rPr>
      <x:t xml:space="preserve">1~4</x:t>
    </x:r>
    <x:r>
      <x:rPr>
        <x:sz val="1000"/>
        <x:color rgb="FF000000"/>
        <x:rFont val="Noto Sans CJK SC"/>
        <x:family val="2"/>
      </x:rPr>
      <x:t xml:space="preserve">의 적 수 평균 </x:t>
    </x:r>
    <x:r>
      <x:rPr>
        <x:sz val="1000"/>
        <x:color rgb="FF000000"/>
        <x:rFont val="Arial"/>
      </x:rPr>
      <x:t xml:space="preserve">(2,2,2,3)</x:t>
    </x:r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</x:si>
  <x:si>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</x:si>
  <x:si>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</x:si>
  <x:si>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</x:si>
  <x:si>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</x:si>
  <x:si>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</x:si>
  <x:si>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</x:si>
  <x:si>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</x:si>
  <x:si>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</x:si>
  <x:si>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000"/>
        <x:color rgb="FFC00000"/>
        <x:rFont val="Noto Sans CJK SC"/>
        <x:family val="2"/>
      </x:rPr>
      <x:t xml:space="preserve">공격력 스탯은 없습니다</x:t>
    </x:r>
    <x:r>
      <x:rPr>
        <x:b/>
        <x:sz val="1000"/>
        <x:color rgb="FFC00000"/>
        <x:rFont val="Arial"/>
      </x:rPr>
      <x:t xml:space="preserve">. </x:t>
    </x:r>
    <x:r>
      <x:rPr>
        <x:b/>
        <x:sz val="1000"/>
        <x:color rgb="FFC00000"/>
        <x:rFont val="Noto Sans CJK SC"/>
        <x:family val="2"/>
      </x:rPr>
      <x:t xml:space="preserve">최종피해 </x:t>
    </x:r>
    <x:r>
      <x:rPr>
        <x:b/>
        <x:sz val="1000"/>
        <x:color rgb="FFC00000"/>
        <x:rFont val="Arial"/>
      </x:rPr>
      <x:t xml:space="preserve">= (</x:t>
    </x:r>
    <x:r>
      <x:rPr>
        <x:b/>
        <x:sz val="1000"/>
        <x:color rgb="FFC00000"/>
        <x:rFont val="Noto Sans CJK SC"/>
        <x:family val="2"/>
      </x:rPr>
      <x:t xml:space="preserve">스킬 피해량 </x:t>
    </x:r>
    <x:r>
      <x:rPr>
        <x:b/>
        <x:sz val="1000"/>
        <x:color rgb="FFC00000"/>
        <x:rFont val="Arial"/>
      </x:rPr>
      <x:t xml:space="preserve">x </x:t>
    </x:r>
    <x:r>
      <x:rPr>
        <x:b/>
        <x:sz val="1000"/>
        <x:color rgb="FFC00000"/>
        <x:rFont val="Noto Sans CJK SC"/>
        <x:family val="2"/>
      </x:rPr>
      <x:t xml:space="preserve">타수</x:t>
    </x:r>
    <x:r>
      <x:rPr>
        <x:b/>
        <x:sz val="1000"/>
        <x:color rgb="FFC00000"/>
        <x:rFont val="Arial"/>
      </x:rPr>
      <x:t xml:space="preserve">) x (1 - </x:t>
    </x:r>
    <x:r>
      <x:rPr>
        <x:b/>
        <x:sz val="1000"/>
        <x:color rgb="FFC00000"/>
        <x:rFont val="Noto Sans CJK SC"/>
        <x:family val="2"/>
      </x:rPr>
      <x:t xml:space="preserve">방어감소율</x:t>
    </x:r>
    <x:r>
      <x:rPr>
        <x:b/>
        <x:sz val="1000"/>
        <x:color rgb="FFC00000"/>
        <x:rFont val="Arial"/>
      </x:rPr>
      <x:t xml:space="preserve">) x </x:t>
    </x:r>
    <x:r>
      <x:rPr>
        <x:b/>
        <x:sz val="1000"/>
        <x:color rgb="FFC00000"/>
        <x:rFont val="Noto Sans CJK SC"/>
        <x:family val="2"/>
      </x:rPr>
      <x:t xml:space="preserve">크리배율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</x:si>
  <x:si>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</x:si>
  <x:si>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r>
      <x:rPr>
        <x:i/>
        <x:sz val="9"/>
        <x:color rgb="FF808080"/>
        <x:rFont val="Noto Sans CJK SC"/>
        <x:family val="2"/>
      </x:rPr>
      <x:t xml:space="preserve">피해량은 계수가 아니라 절대값입니다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카드에 적히는 숫자가 곧 이 값입니다</x:t>
    </x:r>
    <x:r>
      <x:rPr>
        <x:i/>
        <x:sz val="9"/>
        <x:color rgb="FF808080"/>
        <x:rFont val="Arial"/>
      </x:rPr>
      <x:t xml:space="preserve">. F·I~N</x:t>
    </x:r>
    <x:r>
      <x:rPr>
        <x:i/>
        <x:sz val="9"/>
        <x:color rgb="FF808080"/>
        <x:rFont val="Noto Sans CJK SC"/>
        <x:family val="2"/>
      </x:rPr>
      <x:t xml:space="preserve">열 자동 계산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분류에 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광역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이 포함되면 잡몹전 기대 피해에 평균 적 수가 곱해집니다</x:t>
    </x:r>
    <x:r>
      <x:rPr>
        <x:i/>
        <x:sz val="9"/>
        <x:color rgb="FF808080"/>
        <x:rFont val="Arial"/>
      </x:rPr>
      <x:t xml:space="preserve">.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</x:si>
  <x:si>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</x:si>
  <x:si>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</x:si>
  <x:si>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</x:si>
  <x:si>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</x:si>
  <x:si>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캐스팅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</x:si>
  <x:si>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</x:si>
  <x:si>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피해량</x:t>
  </x:si>
  <x:si>
    <x:t xml:space="preserve">타수</x:t>
  </x:si>
  <x:si>
    <x:t xml:space="preserve">총 피해량</x:t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</x:si>
  <x:si>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(1</x:t>
    </x:r>
    <x:r>
      <x:rPr>
        <x:b/>
        <x:sz val="10"/>
        <x:color rgb="FFFFFFFF"/>
        <x:rFont val="Noto Sans CJK SC"/>
        <x:family val="2"/>
      </x:rPr>
      <x:t xml:space="preserve">체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</x:si>
  <x:si>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</x:si>
  <x:si>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보스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</x:si>
  <x:si>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</x:si>
  <x:si>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시간당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</x:si>
  <x:si>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</x:si>
  <x:si>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</x:si>
  <x:si>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설계 의도</x:t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</x:si>
  <x:si>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</x:si>
  <x:si>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</x:si>
  <x:si>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SK-A</x:t>
  </x:si>
  <x:si>
    <x:t xml:space="preserve">화염탄</x:t>
  </x:si>
  <x:si>
    <x:r>
      <x:rPr>
        <x:sz val="10"/>
        <x:color rgb="FF0000FF"/>
        <x:rFont val="Noto Sans CJK SC"/>
        <x:family val="2"/>
      </x:rPr>
      <x:t xml:space="preserve">딜</x:t>
    </x:r>
    <x:r>
      <x:rPr>
        <x:sz val="10"/>
        <x:color rgb="FF0000FF"/>
        <x:rFont val="Arial"/>
      </x:rPr>
      <x:t xml:space="preserve">/</x:t>
    </x:r>
    <x:r>
      <x:rPr>
        <x:sz val="10"/>
        <x:color rgb="FF0000FF"/>
        <x:rFont val="Noto Sans CJK SC"/>
        <x:family val="2"/>
      </x:rPr>
      <x:t xml:space="preserve">단일</x:t>
    </x:r>
  </x:si>
  <x:si>
    <x:r>
      <x:rPr>
        <x:sz val="10"/>
        <x:color rgb="FF0000FF"/>
        <x:rFont val="Noto Sans CJK SC"/>
        <x:family val="2"/>
      </x:rPr>
      <x:t xml:space="preserve">프로토타입 </x:t>
    </x:r>
    <x:r>
      <x:rPr>
        <x:sz val="10"/>
        <x:color rgb="FF0000FF"/>
        <x:rFont val="Arial"/>
      </x:rPr>
      <x:t xml:space="preserve">1</x:t>
    </x:r>
    <x:r>
      <x:rPr>
        <x:sz val="10"/>
        <x:color rgb="FF0000FF"/>
        <x:rFont val="Noto Sans CJK SC"/>
        <x:family val="2"/>
      </x:rPr>
      <x:t xml:space="preserve">단계 구현</x:t>
    </x:r>
    <x:r>
      <x:rPr>
        <x:sz val="10"/>
        <x:color rgb="FF0000FF"/>
        <x:rFont val="Arial"/>
      </x:rPr>
      <x:t xml:space="preserve">. Skill_Fireball</x:t>
    </x:r>
  </x:si>
  <x:si>
    <x:t xml:space="preserve">SK-B</x:t>
  </x:si>
  <x:si>
    <x:t xml:space="preserve">서리화살</x:t>
  </x:si>
  <x:si>
    <x:t xml:space="preserve">Skill_Frostbolt</x:t>
  </x:si>
  <x:si>
    <x:t xml:space="preserve">SK-C</x:t>
  </x:si>
  <x:si>
    <x:t xml:space="preserve">수정방패</x:t>
  </x:si>
  <x:si>
    <x:t xml:space="preserve">방어</x:t>
  </x:si>
  <x:si>
    <x:r>
      <x:rPr>
        <x:sz val="10"/>
        <x:color rgb="FF0000FF"/>
        <x:rFont val="Arial"/>
      </x:rPr>
      <x:t xml:space="preserve">Skill_CrystalShield. </x:t>
    </x:r>
    <x:r>
      <x:rPr>
        <x:sz val="10"/>
        <x:color rgb="FF0000FF"/>
        <x:rFont val="Noto Sans CJK SC"/>
        <x:family val="2"/>
      </x:rPr>
      <x:t xml:space="preserve">방어도 </x:t>
    </x:r>
    <x:r>
      <x:rPr>
        <x:sz val="10"/>
        <x:color rgb="FF0000FF"/>
        <x:rFont val="Arial"/>
      </x:rPr>
      <x:t xml:space="preserve">120</x:t>
    </x:r>
    <x:r>
      <x:rPr>
        <x:sz val="10"/>
        <x:color rgb="FF0000FF"/>
        <x:rFont val="Noto Sans CJK SC"/>
        <x:family val="2"/>
      </x:rPr>
      <x:t xml:space="preserve">은 </x:t>
    </x:r>
    <x:r>
      <x:rPr>
        <x:sz val="10"/>
        <x:color rgb="FF0000FF"/>
        <x:rFont val="Arial"/>
      </x:rPr>
      <x:t xml:space="preserve">3</x:t>
    </x:r>
    <x:r>
      <x:rPr>
        <x:sz val="10"/>
        <x:color rgb="FF0000FF"/>
        <x:rFont val="Noto Sans CJK SC"/>
        <x:family val="2"/>
      </x:rPr>
      <x:t xml:space="preserve">단계에서 적용</x:t>
    </x:r>
  </x:si>
  <x:si>
    <x:t xml:space="preserve">SK-D</x:t>
  </x:si>
  <x:si>
    <x:t xml:space="preserve">침묵</x:t>
  </x:si>
  <x:si>
    <x:t xml:space="preserve">차단</x:t>
  </x:si>
  <x:si>
    <x:t xml:space="preserve">SK-E</x:t>
  </x:si>
  <x:si>
    <x:t xml:space="preserve">연쇄번개</x:t>
  </x:si>
  <x:si>
    <x:r>
      <x:rPr>
        <x:sz val="10"/>
        <x:color rgb="FF0000FF"/>
        <x:rFont val="Arial"/>
      </x:rPr>
      <x:t xml:space="preserve">Skill_ChainLightning. 5~8</x:t>
    </x:r>
    <x:r>
      <x:rPr>
        <x:sz val="10"/>
        <x:color rgb="FF0000FF"/>
        <x:rFont val="Noto Sans CJK SC"/>
        <x:family val="2"/>
      </x:rPr>
      <x:t xml:space="preserve">일차에 광역으로 전환 검토</x:t>
    </x:r>
  </x:si>
  <x:si>
    <x:t xml:space="preserve">SK-F</x:t>
  </x:si>
  <x:si>
    <x:t xml:space="preserve">폭발</x:t>
  </x:si>
  <x:si>
    <x:r>
      <x:rPr>
        <x:sz val="10"/>
        <x:color rgb="FF0000FF"/>
        <x:rFont val="Arial"/>
      </x:rPr>
      <x:t xml:space="preserve">Skill_Explosion. </x:t>
    </x:r>
    <x:r>
      <x:rPr>
        <x:sz val="10"/>
        <x:color rgb="FF0000FF"/>
        <x:rFont val="Noto Sans CJK SC"/>
        <x:family val="2"/>
      </x:rPr>
      <x:t xml:space="preserve">광역 전환 후보</x:t>
    </x:r>
  </x:si>
  <x:si>
    <x:t xml:space="preserve">SK-G</x:t>
  </x:si>
  <x:si>
    <x:t xml:space="preserve">관통</x:t>
  </x:si>
  <x:si>
    <x:t xml:space="preserve">Skill_Pierce</x:t>
  </x:si>
  <x:si>
    <x:t xml:space="preserve">SK-H</x:t>
  </x:si>
  <x:si>
    <x:t xml:space="preserve">불기둥</x:t>
  </x:si>
  <x:si>
    <x:r>
      <x:rPr>
        <x:sz val="10"/>
        <x:color rgb="FF0000FF"/>
        <x:rFont val="Arial"/>
      </x:rPr>
      <x:t xml:space="preserve">Skill_FlamePillar. </x:t>
    </x:r>
    <x:r>
      <x:rPr>
        <x:sz val="10"/>
        <x:color rgb="FF0000FF"/>
        <x:rFont val="Noto Sans CJK SC"/>
        <x:family val="2"/>
      </x:rPr>
      <x:t xml:space="preserve">광역 전환 후보</x:t>
    </x:r>
  </x:si>
  <x:si>
    <x:r>
      <x:rPr>
        <x:b/>
        <x:sz val="10"/>
        <x:rFont val="Noto Sans CJK SC"/>
        <x:family val="2"/>
      </x:rPr>
      <x:t xml:space="preserve">밸런스 검증 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딜 카드만</x:t>
    </x:r>
    <x:r>
      <x:rPr>
        <x:b/>
        <x:sz val="10"/>
        <x:rFont val="Arial"/>
      </x:rPr>
      <x:t xml:space="preserve">, </x:t>
    </x:r>
    <x:r>
      <x:rPr>
        <x:b/>
        <x:sz val="10"/>
        <x:rFont val="Noto Sans CJK SC"/>
        <x:family val="2"/>
      </x:rPr>
      <x:t xml:space="preserve">잡몹전 기준</x:t>
    </x:r>
    <x:r>
      <x:rPr>
        <x:b/>
        <x:sz val="10"/>
        <x:rFont val="Arial"/>
      </x:rPr>
      <x:t xml:space="preserve">)</x:t>
    </x:r>
  </x:si>
  <x:si>
    <x:t xml:space="preserve">코스트당 최대</x:t>
  </x:si>
  <x:si>
    <x:r>
      <x:rPr>
        <x:i/>
        <x:sz val="9"/>
        <x:color rgb="FF808080"/>
        <x:rFont val="Noto Sans CJK SC"/>
        <x:family val="2"/>
      </x:rPr>
      <x:t xml:space="preserve">차단</x:t>
    </x:r>
    <x:r>
      <x:rPr>
        <x:i/>
        <x:sz val="9"/>
        <x:color rgb="FF808080"/>
        <x:rFont val="Arial"/>
      </x:rPr>
      <x:t xml:space="preserve">·</x:t>
    </x:r>
    <x:r>
      <x:rPr>
        <x:i/>
        <x:sz val="9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</x:si>
  <x:si>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</x:si>
  <x:si>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</x:si>
  <x:si>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1.30 </x:t>
    </x:r>
    <x:r>
      <x:rPr>
        <x:i/>
        <x:sz val="9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</x:si>
  <x:si>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</x:si>
  <x:si>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</x:si>
  <x:si>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</x:si>
  <x:si>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</x:si>
  <x:si>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단일 장수</x:t>
    </x:r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</x:si>
  <x:si>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4</x:t>
    </x:r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</x:si>
  <x:si>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광역 장수</x:t>
    </x:r>
  </x:si>
  <x:si>
    <x:t xml:space="preserve">차단 카드 장수</x:t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</x:si>
  <x:si>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3</x:t>
    </x:r>
  </x:si>
  <x:si>
    <x:t xml:space="preserve">방어 카드 장수</x:t>
  </x:si>
  <x:si>
    <x:r>
      <x:rPr>
        <x:b/>
        <x:sz val="10"/>
        <x:color rgb="FFC00000"/>
        <x:rFont val="Noto Sans CJK SC"/>
        <x:family val="2"/>
      </x:rPr>
      <x:t xml:space="preserve">두 비율이 모두 </x:t>
    </x:r>
    <x:r>
      <x:rPr>
        <x:b/>
        <x:sz val="10"/>
        <x:color rgb="FFC00000"/>
        <x:rFont val="Arial"/>
      </x:rPr>
      <x:t xml:space="preserve">1.3 </x:t>
    </x:r>
    <x:r>
      <x:rPr>
        <x:b/>
        <x:sz val="10"/>
        <x:color rgb="FFC00000"/>
        <x:rFont val="Noto Sans CJK SC"/>
        <x:family val="2"/>
      </x:rPr>
      <x:t xml:space="preserve">이하여야 합니다</x:t>
    </x:r>
    <x:r>
      <x:rPr>
        <x:b/>
        <x:sz val="10"/>
        <x:color rgb="FFC00000"/>
        <x:rFont val="Arial"/>
      </x:rPr>
      <x:t xml:space="preserve">. </x:t>
    </x:r>
    <x:r>
      <x:rPr>
        <x:b/>
        <x:sz val="10"/>
        <x:color rgb="FFC00000"/>
        <x:rFont val="Noto Sans CJK SC"/>
        <x:family val="2"/>
      </x:rPr>
      <x:t xml:space="preserve">한쪽만 맞추면 무조건 채용되는 카드가 생깁니다</x:t>
    </x:r>
    <x:r>
      <x:rPr>
        <x:b/>
        <x:sz val="10"/>
        <x:color rgb="FFC00000"/>
        <x:rFont val="Arial"/>
      </x:rPr>
      <x:t xml:space="preserve">.</x:t>
    </x:r>
  </x:si>
  <x:si>
    <x:r>
      <x:rPr>
        <x:b/>
        <x:sz val="10"/>
        <x:color rgb="FFC00000"/>
        <x:rFont val="Noto Sans CJK SC"/>
        <x:family val="2"/>
      </x:rPr>
      <x:t xml:space="preserve">함정</x:t>
    </x:r>
    <x:r>
      <x:rPr>
        <x:b/>
        <x:sz val="10"/>
        <x:color rgb="FFC00000"/>
        <x:rFont val="Arial"/>
      </x:rPr>
      <x:t xml:space="preserve">: </x:t>
    </x:r>
    <x:r>
      <x:rPr>
        <x:b/>
        <x:sz val="10"/>
        <x:color rgb="FFC00000"/>
        <x:rFont val="Noto Sans CJK SC"/>
        <x:family val="2"/>
      </x:rPr>
      <x:t xml:space="preserve">차단</x:t>
    </x:r>
    <x:r>
      <x:rPr>
        <x:b/>
        <x:sz val="10"/>
        <x:color rgb="FFC00000"/>
        <x:rFont val="Arial"/>
      </x:rPr>
      <x:t xml:space="preserve">·</x:t>
    </x:r>
    <x:r>
      <x:rPr>
        <x:b/>
        <x:sz val="10"/>
        <x:color rgb="FFC00000"/>
        <x:rFont val="Noto Sans CJK SC"/>
        <x:family val="2"/>
      </x:rPr>
      <x:t xml:space="preserve">방어 카드에 딜을 붙이면 트레이드오프가 사라집니다</x:t>
    </x:r>
    <x:r>
      <x:rPr>
        <x:b/>
        <x:sz val="10"/>
        <x:color rgb="FFC00000"/>
        <x:rFont val="Arial"/>
      </x:rPr>
      <x:t xml:space="preserve">. </x:t>
    </x:r>
    <x:r>
      <x:rPr>
        <x:b/>
        <x:sz val="10"/>
        <x:color rgb="FFC00000"/>
        <x:rFont val="Noto Sans CJK SC"/>
        <x:family val="2"/>
      </x:rPr>
      <x:t xml:space="preserve">대응 카드는 딜을 포기하는 대가여야 합니다</x:t>
    </x:r>
    <x:r>
      <x:rPr>
        <x:b/>
        <x:sz val="10"/>
        <x:color rgb="FFC00000"/>
        <x:rFont val="Arial"/>
      </x:rPr>
      <x:t xml:space="preserve">.</x:t>
    </x:r>
  </x:si>
  <x:si>
    <x:r>
      <x:rPr>
        <x:b/>
        <x:sz val="10"/>
        <x:rFont val="Noto Sans CJK SC"/>
        <x:family val="2"/>
      </x:rPr>
      <x:t xml:space="preserve">단일 </x:t>
    </x:r>
    <x:r>
      <x:rPr>
        <x:b/>
        <x:sz val="10"/>
        <x:rFont val="Arial"/>
      </x:rPr>
      <x:t xml:space="preserve">/ </x:t>
    </x:r>
    <x:r>
      <x:rPr>
        <x:b/>
        <x:sz val="10"/>
        <x:rFont val="Noto Sans CJK SC"/>
        <x:family val="2"/>
      </x:rPr>
      <x:t xml:space="preserve">광역 설계</x:t>
    </x:r>
  </x:si>
  <x:si>
    <x:r>
      <x:rPr>
        <x:i/>
        <x:sz val="9"/>
        <x:color rgb="FF808080"/>
        <x:rFont val="Noto Sans CJK SC"/>
        <x:family val="2"/>
      </x:rPr>
      <x:t xml:space="preserve">손익분기는 적 </x:t>
    </x:r>
    <x:r>
      <x:rPr>
        <x:i/>
        <x:sz val="9"/>
        <x:color rgb="FF808080"/>
        <x:rFont val="Arial"/>
      </x:rPr>
      <x:t xml:space="preserve">2</x:t>
    </x:r>
    <x:r>
      <x:rPr>
        <x:i/>
        <x:sz val="9"/>
        <x:color rgb="FF808080"/>
        <x:rFont val="Noto Sans CJK SC"/>
        <x:family val="2"/>
      </x:rPr>
      <x:t xml:space="preserve">체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같은 코스트라면 광역 피해량은 단일 피해량의 절반입니다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</x:si>
  <x:si>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보스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과 </x:t>
    </x:r>
    <x:r>
      <x:rPr>
        <x:i/>
        <x:sz val="9"/>
        <x:color rgb="FF808080"/>
        <x:rFont val="Arial"/>
      </x:rPr>
      <x:t xml:space="preserve">M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잡몹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의 격차가 크면 그 카드는 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상황용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격차가 없으면 범용입니다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</x:si>
  <x:si>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보스전은 적 </x:t>
    </x:r>
    <x:r>
      <x:rPr>
        <x:i/>
        <x:sz val="9"/>
        <x:color rgb="FF808080"/>
        <x:rFont val="Arial"/>
      </x:rPr>
      <x:t xml:space="preserve">1</x:t>
    </x:r>
    <x:r>
      <x:rPr>
        <x:i/>
        <x:sz val="9"/>
        <x:color rgb="FF808080"/>
        <x:rFont val="Noto Sans CJK SC"/>
        <x:family val="2"/>
      </x:rPr>
      <x:t xml:space="preserve">체이므로 광역기는 </x:t>
    </x:r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 값만 나옵니다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덱 </x:t>
    </x:r>
    <x:r>
      <x:rPr>
        <x:i/>
        <x:sz val="9"/>
        <x:color rgb="FF808080"/>
        <x:rFont val="Arial"/>
      </x:rPr>
      <x:t xml:space="preserve">8</x:t>
    </x:r>
    <x:r>
      <x:rPr>
        <x:i/>
        <x:sz val="9"/>
        <x:color rgb="FF808080"/>
        <x:rFont val="Noto Sans CJK SC"/>
        <x:family val="2"/>
      </x:rPr>
      <x:t xml:space="preserve">장에 상황용을 몇 장 넣을지가 결정이 됩니다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</x:si>
  <x:si>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광역기의 대가는 코스트가 아니라 캐스팅 시간</x:t>
    </x:r>
    <x:r>
      <x:rPr>
        <x:i/>
        <x:sz val="9"/>
        <x:color rgb="FF808080"/>
        <x:rFont val="Arial"/>
      </x:rPr>
      <x:t xml:space="preserve">(0.8~1.2</x:t>
    </x:r>
    <x:r>
      <x:rPr>
        <x:i/>
        <x:sz val="9"/>
        <x:color rgb="FF808080"/>
        <x:rFont val="Noto Sans CJK SC"/>
        <x:family val="2"/>
      </x:rPr>
      <x:t xml:space="preserve">초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코스트를 올리면 피해량도 비례해 올리세요</x:t>
    </x:r>
    <x:r>
      <x:rPr>
        <x:i/>
        <x:sz val="9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</x:si>
  <x:si>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</x:si>
  <x:si>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</x:si>
  <x:si>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</x:si>
  <x:si>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기대 피해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</x:si>
  <x:si>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</x:si>
  <x:si>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</x:si>
  <x:si>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</x:si>
  <x:si>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</x:si>
  <x:si>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</x:si>
  <x:si>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</x:si>
  <x:si>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</x:si>
  <x:si>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기대 피해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</x:si>
  <x:si>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</x:si>
  <x:si>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</x:si>
  <x:si>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</x:si>
  <x:si>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</x:si>
  <x:si>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</x:si>
  <x:si>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</x:si>
  <x:si>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</x:si>
  <x:si>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</x:si>
  <x:si>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</x:si>
  <x:si>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방어감소율</x:t>
  </x:si>
  <x:si>
    <x:t xml:space="preserve">차단 가능</x:t>
  </x:si>
  <x:si>
    <x:t xml:space="preserve">교육 의도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</x:si>
  <x:si>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A</x:t>
    </x:r>
  </x:si>
  <x:si>
    <x:t xml:space="preserve">초록</x:t>
  </x:si>
  <x:si>
    <x:t xml:space="preserve">대응 불필요한 공격을 먼저 보여줌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</x:si>
  <x:si>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B</x:t>
    </x:r>
  </x:si>
  <x:si>
    <x:t xml:space="preserve">주황</x:t>
  </x:si>
  <x:si>
    <x:t xml:space="preserve">가능</x:t>
  </x:si>
  <x:si>
    <x:t xml:space="preserve">차단 카드의 존재와 사용 타이밍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</x:si>
  <x:si>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C</x:t>
    </x:r>
  </x:si>
  <x:si>
    <x:t xml:space="preserve">빨강</x:t>
  </x:si>
  <x:si>
    <x:t xml:space="preserve">불가</x:t>
  </x:si>
  <x:si>
    <x:t xml:space="preserve">방어도 카드의 존재</x:t>
  </x:si>
  <x:si>
    <x:r>
      <x:rPr>
        <x:b/>
        <x:sz val="10"/>
        <x:color rgb="FFC00000"/>
        <x:rFont val="Arial"/>
      </x:rPr>
      <x:t xml:space="preserve">A·B·C</x:t>
    </x:r>
    <x:r>
      <x:rPr>
        <x:b/>
        <x:sz val="10"/>
        <x:color rgb="FFC00000"/>
        <x:rFont val="Noto Sans CJK SC"/>
        <x:family val="2"/>
      </x:rPr>
      <x:t xml:space="preserve">는 프로토타입 </x:t>
    </x:r>
    <x:r>
      <x:rPr>
        <x:b/>
        <x:sz val="10"/>
        <x:color rgb="FFC00000"/>
        <x:rFont val="Arial"/>
      </x:rPr>
      <x:t xml:space="preserve">2</x:t>
    </x:r>
    <x:r>
      <x:rPr>
        <x:b/>
        <x:sz val="10"/>
        <x:color rgb="FFC00000"/>
        <x:rFont val="Noto Sans CJK SC"/>
        <x:family val="2"/>
      </x:rPr>
      <x:t xml:space="preserve">단계 구현값입니다</x:t>
    </x:r>
    <x:r>
      <x:rPr>
        <x:b/>
        <x:sz val="10"/>
        <x:color rgb="FFC00000"/>
        <x:rFont val="Arial"/>
      </x:rPr>
      <x:t xml:space="preserve">. 4</x:t>
    </x:r>
    <x:r>
      <x:rPr>
        <x:b/>
        <x:sz val="10"/>
        <x:color rgb="FFC00000"/>
        <x:rFont val="Noto Sans CJK SC"/>
        <x:family val="2"/>
      </x:rPr>
      <x:t xml:space="preserve">열은 공격력이 아니라 피해량입니다</x:t>
    </x:r>
    <x:r>
      <x:rPr>
        <x:b/>
        <x:sz val="10"/>
        <x:color rgb="FFC0000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</x:si>
  <x:si>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담당 색상</x:t>
    </x:r>
    <x:r>
      <x:rPr>
        <x:i/>
        <x:sz val="9"/>
        <x:color rgb="FF808080"/>
        <x:rFont val="Arial"/>
      </x:rPr>
      <x:t xml:space="preserve">: </x:t>
    </x:r>
    <x:r>
      <x:rPr>
        <x:i/>
        <x:sz val="9"/>
        <x:color rgb="FF808080"/>
        <x:rFont val="Noto Sans CJK SC"/>
        <x:family val="2"/>
      </x:rPr>
      <x:t xml:space="preserve">초록</x:t>
    </x:r>
    <x:r>
      <x:rPr>
        <x:i/>
        <x:sz val="9"/>
        <x:color rgb="FF808080"/>
        <x:rFont val="Arial"/>
      </x:rPr>
      <x:t xml:space="preserve">=</x:t>
    </x:r>
    <x:r>
      <x:rPr>
        <x:i/>
        <x:sz val="9"/>
        <x:color rgb="FF808080"/>
        <x:rFont val="Noto Sans CJK SC"/>
        <x:family val="2"/>
      </x:rPr>
      <x:t xml:space="preserve">대응 불필요 </x:t>
    </x:r>
    <x:r>
      <x:rPr>
        <x:i/>
        <x:sz val="9"/>
        <x:color rgb="FF808080"/>
        <x:rFont val="Arial"/>
      </x:rPr>
      <x:t xml:space="preserve">/ </x:t>
    </x:r>
    <x:r>
      <x:rPr>
        <x:i/>
        <x:sz val="9"/>
        <x:color rgb="FF808080"/>
        <x:rFont val="Noto Sans CJK SC"/>
        <x:family val="2"/>
      </x:rPr>
      <x:t xml:space="preserve">주황</x:t>
    </x:r>
    <x:r>
      <x:rPr>
        <x:i/>
        <x:sz val="9"/>
        <x:color rgb="FF808080"/>
        <x:rFont val="Arial"/>
      </x:rPr>
      <x:t xml:space="preserve">=</x:t>
    </x:r>
    <x:r>
      <x:rPr>
        <x:i/>
        <x:sz val="9"/>
        <x:color rgb="FF808080"/>
        <x:rFont val="Noto Sans CJK SC"/>
        <x:family val="2"/>
      </x:rPr>
      <x:t xml:space="preserve">차단 대상 </x:t>
    </x:r>
    <x:r>
      <x:rPr>
        <x:i/>
        <x:sz val="9"/>
        <x:color rgb="FF808080"/>
        <x:rFont val="Arial"/>
      </x:rPr>
      <x:t xml:space="preserve">/ </x:t>
    </x:r>
    <x:r>
      <x:rPr>
        <x:i/>
        <x:sz val="9"/>
        <x:color rgb="FF808080"/>
        <x:rFont val="Noto Sans CJK SC"/>
        <x:family val="2"/>
      </x:rPr>
      <x:t xml:space="preserve">빨강</x:t>
    </x:r>
    <x:r>
      <x:rPr>
        <x:i/>
        <x:sz val="9"/>
        <x:color rgb="FF808080"/>
        <x:rFont val="Arial"/>
      </x:rPr>
      <x:t xml:space="preserve">=</x:t>
    </x:r>
    <x:r>
      <x:rPr>
        <x:i/>
        <x:sz val="9"/>
        <x:color rgb="FF808080"/>
        <x:rFont val="Noto Sans CJK SC"/>
        <x:family val="2"/>
      </x:rPr>
      <x:t xml:space="preserve">방어도 대상</x:t>
    </x:r>
  </x:si>
  <x:si>
    <x:r>
      <x:rPr>
        <x:b/>
        <x:sz val="13"/>
        <x:rFont val="Noto Sans CJK SC"/>
        <x:family val="2"/>
      </x:rPr>
      <x:t xml:space="preserve">런 전체 </x:t>
    </x:r>
    <x:r>
      <x:rPr>
        <x:b/>
        <x:sz val="13"/>
        <x:rFont val="Arial"/>
      </x:rPr>
      <x:t xml:space="preserve">HP </x:t>
    </x:r>
    <x:r>
      <x:rPr>
        <x:b/>
        <x:sz val="13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</x:si>
  <x:si>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</x:si>
  <x:si>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</x:si>
  <x:si>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</x:si>
  <x:si>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</x:si>
  <x:si>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완벽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</x:si>
  <x:si>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평범</x:t>
    </x:r>
    <x:r>
      <x:rPr>
        <x:b/>
        <x:sz val="1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</x:si>
  <x:si>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</x:si>
  <x:si>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</x:si>
  <x:si>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</x:si>
  <x:si>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</x:si>
  <x:si>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</x:si>
  <x:si>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r>
      <x:rPr>
        <x:i/>
        <x:sz val="900"/>
        <x:color rgb="FF808080"/>
        <x:rFont val="Noto Sans CJK SC"/>
        <x:family val="2"/>
      </x:rPr>
      <x:t xml:space="preserve">런 전체 </x:t>
    </x:r>
    <x:r>
      <x:rPr>
        <x:i/>
        <x:sz val="900"/>
        <x:color rgb="FF808080"/>
        <x:rFont val="Arial"/>
      </x:rPr>
      <x:t xml:space="preserve">3</x:t>
    </x:r>
    <x:r>
      <x:rPr>
        <x:i/>
        <x:sz val="900"/>
        <x:color rgb="FF808080"/>
        <x:rFont val="Noto Sans CJK SC"/>
        <x:family val="2"/>
      </x:rPr>
      <x:t xml:space="preserve">회 </x:t>
    </x:r>
    <x:r>
      <x:rPr>
        <x:i/>
        <x:sz val="900"/>
        <x:color rgb="FF808080"/>
        <x:rFont val="Arial"/>
      </x:rPr>
      <x:t xml:space="preserve">x </x:t>
    </x:r>
    <x:r>
      <x:rPr>
        <x:i/>
        <x:sz val="900"/>
        <x:color rgb="FF808080"/>
        <x:rFont val="Noto Sans CJK SC"/>
        <x:family val="2"/>
      </x:rPr>
      <x:t xml:space="preserve">최대 </x:t>
    </x:r>
    <x:r>
      <x:rPr>
        <x:i/>
        <x:sz val="900"/>
        <x:color rgb="FF808080"/>
        <x:rFont val="Arial"/>
      </x:rPr>
      <x:t xml:space="preserve">HP 50%</x:t>
    </x:r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</x:si>
  <x:si>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</x:si>
  <x:si>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</x:si>
  <x:si>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</x:si>
  <x:si>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</x:si>
  <x:si>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</x:si>
  <x:si>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</x:si>
  <x:si>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</x:si>
  <x:si>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</x:si>
  <x:si>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</x:si>
  <x:si>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</x:si>
  <x:si>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</x:si>
  <x:si>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r>
      <x:rPr>
        <x:i/>
        <x:sz val="9"/>
        <x:color rgb="FF808080"/>
        <x:rFont val="Arial"/>
      </x:rPr>
      <x:t xml:space="preserve">D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실측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</x:t>
    </x:r>
    <x:r>
      <x:rPr>
        <x:i/>
        <x:sz val="9"/>
        <x:color rgb="FF808080"/>
        <x:rFont val="Arial"/>
      </x:rPr>
      <x:t xml:space="preserve">18</x:t>
    </x:r>
    <x:r>
      <x:rPr>
        <x:i/>
        <x:sz val="9"/>
        <x:color rgb="FF808080"/>
        <x:rFont val="Noto Sans CJK SC"/>
        <x:family val="2"/>
      </x:rPr>
      <x:t xml:space="preserve">일차에 스톱워치로 측정해 기입</x:t>
    </x:r>
    <x:r>
      <x:rPr>
        <x:i/>
        <x:sz val="9"/>
        <x:color rgb="FF808080"/>
        <x:rFont val="Arial"/>
      </x:rPr>
      <x:t xml:space="preserve">. E·F</x:t>
    </x:r>
    <x:r>
      <x:rPr>
        <x:i/>
        <x:sz val="9"/>
        <x:color rgb="FF808080"/>
        <x:rFont val="Noto Sans CJK SC"/>
        <x:family val="2"/>
      </x:rPr>
      <x:t xml:space="preserve">열은 자동 계산</x:t>
    </x:r>
    <x:r>
      <x:rPr>
        <x:i/>
        <x:sz val="9"/>
        <x:color rgb="FF808080"/>
        <x:rFont val="Arial"/>
      </x:rPr>
      <x:t xml:space="preserve">.</x:t>
    </x:r>
  </x:si>
  <x:si>
    <x:t xml:space="preserve">번호</x:t>
  </x:si>
  <x:si>
    <x:r>
      <x:rPr>
        <x:b/>
        <x:sz val="10"/>
        <x:color rgb="FFFFFFFF"/>
        <x:rFont val="Noto Sans CJK SC"/>
        <x:family val="2"/>
      </x:rPr>
      <x:t xml:space="preserve">목표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</x:si>
  <x:si>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실측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</x:si>
  <x:si>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차이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</x:si>
  <x:si>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</x:si>
  <x:si>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</x:si>
  <x:si>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</x:si>
  <x:si>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예시</x:t>
    </x:r>
    <x:r>
      <x:rPr>
        <x:i/>
        <x:sz val="9"/>
        <x:color rgb="FF808080"/>
        <x:rFont val="Arial"/>
      </x:rPr>
      <x:t xml:space="preserve">) </x:t>
    </x:r>
    <x:r>
      <x:rPr>
        <x:i/>
        <x:sz val="9"/>
        <x:color rgb="FF808080"/>
        <x:rFont val="Noto Sans CJK SC"/>
        <x:family val="2"/>
      </x:rPr>
      <x:t xml:space="preserve">잡몹</x:t>
    </x:r>
    <x:r>
      <x:rPr>
        <x:i/>
        <x:sz val="9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</x:si>
  <x:si>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</x:si>
  <x:si>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"/>
        <x:color rgb="FF808080"/>
        <x:rFont val="Noto Sans CJK SC"/>
        <x:family val="2"/>
      </x:rPr>
      <x:t xml:space="preserve">목표 대비 </x:t>
    </x:r>
    <x:r>
      <x:rPr>
        <x:i/>
        <x:sz val="9"/>
        <x:color rgb="FF808080"/>
        <x:rFont val="Arial"/>
      </x:rPr>
      <x:t xml:space="preserve">45% </x:t>
    </x:r>
    <x:r>
      <x:rPr>
        <x:i/>
        <x:sz val="9"/>
        <x:color rgb="FF808080"/>
        <x:rFont val="Noto Sans CJK SC"/>
        <x:family val="2"/>
      </x:rPr>
      <x:t xml:space="preserve">초과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적 </x:t>
    </x:r>
    <x:r>
      <x:rPr>
        <x:i/>
        <x:sz val="9"/>
        <x:color rgb="FF808080"/>
        <x:rFont val="Arial"/>
      </x:rPr>
      <x:t xml:space="preserve">HP 300→220 </x:t>
    </x:r>
    <x:r>
      <x:rPr>
        <x:i/>
        <x:sz val="9"/>
        <x:color rgb="FF808080"/>
        <x:rFont val="Noto Sans CJK SC"/>
        <x:family val="2"/>
      </x:rPr>
      <x:t xml:space="preserve">하향 </x:t>
    </x:r>
    <x:r>
      <x:rPr>
        <x:i/>
        <x:sz val="9"/>
        <x:color rgb="FF808080"/>
        <x:rFont val="Arial"/>
      </x:rPr>
      <x:t xml:space="preserve">(18</x:t>
    </x:r>
    <x:r>
      <x:rPr>
        <x:i/>
        <x:sz val="9"/>
        <x:color rgb="FF808080"/>
        <x:rFont val="Noto Sans CJK SC"/>
        <x:family val="2"/>
      </x:rPr>
      <x:t xml:space="preserve">일차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</x:si>
  <x:si>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목표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</x:si>
  <x:si>
    <x:r>
      <x:rPr>
        <x:i/>
        <x:sz val="9"/>
        <x:color rgb="FF808080"/>
        <x:rFont val="Noto Sans CJK SC"/>
        <x:family val="2"/>
      </x:rPr>
      <x:t xml:space="preserve">목표</x:t>
    </x:r>
    <x:r>
      <x:rPr>
        <x:i/>
        <x:sz val="9"/>
        <x:color rgb="FF808080"/>
        <x:rFont val="Arial"/>
      </x:rPr>
      <x:t xml:space="preserve">: </x:t>
    </x:r>
    <x:r>
      <x:rPr>
        <x:i/>
        <x:sz val="9"/>
        <x:color rgb="FF808080"/>
        <x:rFont val="Noto Sans CJK SC"/>
        <x:family val="2"/>
      </x:rPr>
      <x:t xml:space="preserve">전투 합계 </x:t>
    </x:r>
    <x:r>
      <x:rPr>
        <x:i/>
        <x:sz val="9"/>
        <x:color rgb="FF808080"/>
        <x:rFont val="Arial"/>
      </x:rPr>
      <x:t xml:space="preserve">6~7</x:t>
    </x:r>
    <x:r>
      <x:rPr>
        <x:i/>
        <x:sz val="9"/>
        <x:color rgb="FF808080"/>
        <x:rFont val="Noto Sans CJK SC"/>
        <x:family val="2"/>
      </x:rPr>
      <x:t xml:space="preserve">분 </x:t>
    </x:r>
    <x:r>
      <x:rPr>
        <x:i/>
        <x:sz val="9"/>
        <x:color rgb="FF808080"/>
        <x:rFont val="Arial"/>
      </x:rPr>
      <x:t xml:space="preserve">(360~420</x:t>
    </x:r>
    <x:r>
      <x:rPr>
        <x:i/>
        <x:sz val="9"/>
        <x:color rgb="FF808080"/>
        <x:rFont val="Noto Sans CJK SC"/>
        <x:family val="2"/>
      </x:rPr>
      <x:t xml:space="preserve">초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</x:si>
  <x:si>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실측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</x:si>
</x:sst>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79f572071b45df" /><Relationship Type="http://schemas.openxmlformats.org/officeDocument/2006/relationships/theme" Target="/xl/theme/theme1.xml" Id="R327ae75b000645b4" /><Relationship Type="http://schemas.openxmlformats.org/officeDocument/2006/relationships/sharedStrings" Target="/xl/sharedStrings.xml" Id="Rc0467aa7694d46ac" /><Relationship Type="http://schemas.openxmlformats.org/officeDocument/2006/relationships/worksheet" Target="/xl/worksheets/sheet1.xml" Id="R4c729fbfa5454cda" /><Relationship Type="http://schemas.openxmlformats.org/officeDocument/2006/relationships/worksheet" Target="/xl/worksheets/sheet2.xml" Id="R623dcf9085d1448a" /><Relationship Type="http://schemas.openxmlformats.org/officeDocument/2006/relationships/worksheet" Target="/xl/worksheets/sheet3.xml" Id="Rb402684eb8164c64" /><Relationship Type="http://schemas.openxmlformats.org/officeDocument/2006/relationships/worksheet" Target="/xl/worksheets/sheet4.xml" Id="R3cd2c215fdc44952" /><Relationship Type="http://schemas.openxmlformats.org/officeDocument/2006/relationships/worksheet" Target="/xl/worksheets/sheet5.xml" Id="R99ac07ec9c814d27" /><Relationship Type="http://schemas.openxmlformats.org/officeDocument/2006/relationships/worksheet" Target="/xl/worksheets/sheet6.xml" Id="R30e7dee9b89d498d" /><Relationship Type="http://schemas.openxmlformats.org/officeDocument/2006/relationships/worksheet" Target="/xl/worksheets/sheet7.xml" Id="R7684ec5e80244a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">
        <x:v>13</x:v>
      </x:c>
    </x:row>
    <x:row r="12" ht="29.850000381469727" hidden="0">
      <x:c r="A12" s="7" t="s">
        <x:v>14</x:v>
      </x:c>
      <x:c r="B12" s="6" t="s">
        <x:v>15</x:v>
      </x:c>
    </x:row>
    <x:row r="13" ht="15" hidden="0">
      <x:c r="A13" s="7" t="s">
        <x:v>16</x:v>
      </x:c>
      <x:c r="B13" s="6" t="s">
        <x:v>17</x:v>
      </x:c>
    </x:row>
    <x:row r="14" ht="15" hidden="0">
      <x:c r="A14" s="7" t="s">
        <x:v>18</x:v>
      </x:c>
      <x:c r="B14" s="6" t="s">
        <x:v>19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20</x:v>
      </x:c>
      <x:c r="B18" s="8" t="s">
        <x:v>21</x:v>
      </x:c>
      <x:c r="C18" s="8" t="s">
        <x:v>22</x:v>
      </x:c>
      <x:c r="D18" s="8" t="s">
        <x:v>23</x:v>
      </x:c>
    </x:row>
    <x:row r="19" ht="15" hidden="0">
      <x:c r="A19" s="9" t="s">
        <x:v>24</x:v>
      </x:c>
      <x:c r="B19" s="10" t="s">
        <x:v>25</x:v>
      </x:c>
      <x:c r="C19" s="11" t="n">
        <x:v>1.8</x:v>
      </x:c>
      <x:c r="D19" s="12" t="s">
        <x:v>26</x:v>
      </x:c>
    </x:row>
    <x:row r="20" ht="15" hidden="0">
      <x:c r="A20" s="9" t="s">
        <x:v>27</x:v>
      </x:c>
      <x:c r="B20" s="10" t="s">
        <x:v>28</x:v>
      </x:c>
      <x:c r="C20" s="11" t="n">
        <x:v>100</x:v>
      </x:c>
      <x:c r="D20" s="12" t="s">
        <x:v>26</x:v>
      </x:c>
    </x:row>
    <x:row r="21" ht="15" hidden="0">
      <x:c r="A21" s="9" t="s">
        <x:v>29</x:v>
      </x:c>
      <x:c r="B21" s="10" t="s">
        <x:v>30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31</x:v>
      </x:c>
      <x:c r="B22" s="10" t="s">
        <x:v>32</x:v>
      </x:c>
      <x:c r="C22" s="13" t="n">
        <x:f aca="0">C21/(C21+C20)</x:f>
        <x:v>0</x:v>
      </x:c>
      <x:c r="D22" s="10" t="s">
        <x:v>33</x:v>
      </x:c>
    </x:row>
    <x:row r="23" ht="15" hidden="0">
      <x:c r="A23" s="9" t="s">
        <x:v>34</x:v>
      </x:c>
      <x:c r="B23" s="10" t="s">
        <x:v>35</x:v>
      </x:c>
      <x:c r="C23" s="11" t="n">
        <x:v>0.8</x:v>
      </x:c>
      <x:c r="D23" s="12" t="s">
        <x:v>26</x:v>
      </x:c>
    </x:row>
    <x:row r="24" ht="15" hidden="0">
      <x:c r="A24" s="9" t="s">
        <x:v>36</x:v>
      </x:c>
      <x:c r="B24" s="10" t="s">
        <x:v>37</x:v>
      </x:c>
      <x:c r="C24" s="11" t="n">
        <x:v>10</x:v>
      </x:c>
      <x:c r="D24" s="12" t="s">
        <x:v>26</x:v>
      </x:c>
    </x:row>
    <x:row r="25" ht="15" hidden="0">
      <x:c r="A25" s="9" t="s">
        <x:v>38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39</x:v>
      </x:c>
      <x:c r="B26" s="10" t="s">
        <x:v>40</x:v>
      </x:c>
      <x:c r="C26" s="11" t="n">
        <x:v>0.4</x:v>
      </x:c>
      <x:c r="D26" s="10" t="s">
        <x:v>41</x:v>
      </x:c>
    </x:row>
    <x:row r="27" ht="15" hidden="0">
      <x:c r="A27" s="9" t="s">
        <x:v>42</x:v>
      </x:c>
      <x:c r="B27" s="10" t="s">
        <x:v>43</x:v>
      </x:c>
      <x:c r="C27" s="11" t="n">
        <x:v>45</x:v>
      </x:c>
      <x:c r="D27" s="12" t="s">
        <x:v>26</x:v>
      </x:c>
    </x:row>
    <x:row r="28" ht="15" hidden="0">
      <x:c r="A28" s="9" t="s">
        <x:v>44</x:v>
      </x:c>
      <x:c r="B28" s="10" t="s">
        <x:v>43</x:v>
      </x:c>
      <x:c r="C28" s="11" t="n">
        <x:v>180</x:v>
      </x:c>
      <x:c r="D28" s="12" t="s">
        <x:v>26</x:v>
      </x:c>
    </x:row>
    <x:row r="29" ht="15" hidden="0">
      <x:c r="A29" s="9" t="s">
        <x:v>45</x:v>
      </x:c>
      <x:c r="B29" s="10" t="s">
        <x:v>46</x:v>
      </x:c>
      <x:c r="C29" s="11" t="n">
        <x:v>3</x:v>
      </x:c>
      <x:c r="D29" s="10" t="s">
        <x:v>47</x:v>
      </x:c>
    </x:row>
    <x:row r="30" ht="15" hidden="0">
      <x:c r="A30" s="9" t="s">
        <x:v>48</x:v>
      </x:c>
      <x:c r="B30" s="10" t="s">
        <x:v>49</x:v>
      </x:c>
      <x:c r="C30" s="11" t="n">
        <x:v>2.25</x:v>
      </x:c>
      <x:c r="D30" s="10" t="s">
        <x:v>50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2026-09-17: 계산 전제·접근 시간·빈 입력 표시 정정. 기록: 07 D-05.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51</x:v>
      </x:c>
    </x:row>
    <x:row r="2" ht="15" hidden="0">
      <x:c r="A2" s="2" t="str">
        <x:v>현재 프로토타입 조건. E열 기대 크리 배율 자동 계산.</x:v>
      </x:c>
    </x:row>
    <x:row r="4" ht="31.5" hidden="0" customHeight="1">
      <x:c r="A4" s="8" t="s">
        <x:v>52</x:v>
      </x:c>
      <x:c r="B4" s="16" t="s">
        <x:v>53</x:v>
      </x:c>
      <x:c r="C4" s="8" t="s">
        <x:v>54</x:v>
      </x:c>
      <x:c r="D4" s="8" t="str">
        <x:v>적용 크리율</x:v>
      </x:c>
      <x:c r="E4" s="8" t="s">
        <x:v>55</x:v>
      </x:c>
      <x:c r="F4" s="8" t="s">
        <x:v>56</x:v>
      </x:c>
    </x:row>
    <x:row r="5" ht="15" hidden="0" customHeight="1">
      <x:c r="A5" s="17" t="s">
        <x:v>57</x:v>
      </x:c>
      <x:c r="B5" s="17" t="n">
        <x:v>500</x:v>
      </x:c>
      <x:c r="C5" s="17" t="n">
        <x:v>20</x:v>
      </x:c>
      <x:c r="D5" s="18" t="n">
        <x:v>0</x:v>
      </x:c>
      <x:c r="E5" s="19" t="n">
        <x:f aca="0">IF(NOT(ISNUMBER(D5)),"",1+D5*('범례'!$C$19-1))</x:f>
        <x:v>1</x:v>
      </x:c>
      <x:c r="F5" s="34" t="str">
        <x:v>현재 크리 미구현(12). 계산 0%; 기획 15%는 10 참조.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58</x:v>
      </x:c>
    </x:row>
    <x:row r="10" ht="15" hidden="0">
      <x:c r="A10" s="14" t="s">
        <x:v>59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60</x:v>
      </x:c>
    </x:row>
    <x:row r="2" ht="15" hidden="0">
      <x:c r="A2" s="2" t="s">
        <x:v>61</x:v>
      </x:c>
    </x:row>
    <x:row r="4" ht="31.5" hidden="0" customHeight="1">
      <x:c r="A4" s="16" t="s">
        <x:v>62</x:v>
      </x:c>
      <x:c r="B4" s="8" t="s">
        <x:v>63</x:v>
      </x:c>
      <x:c r="C4" s="8" t="s">
        <x:v>64</x:v>
      </x:c>
      <x:c r="D4" s="8" t="s">
        <x:v>65</x:v>
      </x:c>
      <x:c r="E4" s="8" t="s">
        <x:v>66</x:v>
      </x:c>
      <x:c r="F4" s="8" t="s">
        <x:v>67</x:v>
      </x:c>
      <x:c r="G4" s="8" t="s">
        <x:v>68</x:v>
      </x:c>
      <x:c r="H4" s="8" t="s">
        <x:v>69</x:v>
      </x:c>
      <x:c r="I4" s="8" t="s">
        <x:v>70</x:v>
      </x:c>
      <x:c r="J4" s="8" t="s">
        <x:v>71</x:v>
      </x:c>
      <x:c r="K4" s="8" t="s">
        <x:v>72</x:v>
      </x:c>
      <x:c r="L4" s="8" t="s">
        <x:v>73</x:v>
      </x:c>
      <x:c r="M4" s="8" t="s">
        <x:v>74</x:v>
      </x:c>
      <x:c r="N4" s="8" t="s">
        <x:v>75</x:v>
      </x:c>
      <x:c r="O4" s="8" t="s">
        <x:v>76</x:v>
      </x:c>
      <x:c r="P4" s="8" t="s">
        <x:v>77</x:v>
      </x:c>
      <x:c r="Q4" s="8" t="s">
        <x:v>78</x:v>
      </x:c>
      <x:c r="R4" s="8" t="s">
        <x:v>79</x:v>
      </x:c>
      <x:c r="S4" s="8" t="s">
        <x:v>80</x:v>
      </x:c>
    </x:row>
    <x:row r="5" ht="15" hidden="0">
      <x:c r="A5" s="11" t="s">
        <x:v>81</x:v>
      </x:c>
      <x:c r="B5" s="17" t="s">
        <x:v>82</x:v>
      </x:c>
      <x:c r="C5" s="17" t="s">
        <x:v>83</x:v>
      </x:c>
      <x:c r="D5" s="17" t="n">
        <x:v>3</x:v>
      </x:c>
      <x:c r="E5" s="17" t="n">
        <x:v>0.3</x:v>
      </x:c>
      <x:c r="F5" s="22" t="n">
        <x:f aca="0">IF(NOT(ISNUMBER(E5)),"",MAX(E5,'범례'!$C$26))</x:f>
        <x:v>0.4</x:v>
      </x:c>
      <x:c r="G5" s="17" t="n">
        <x:v>100</x:v>
      </x:c>
      <x:c r="H5" s="17" t="n">
        <x:v>1</x:v>
      </x:c>
      <x:c r="I5" s="19" t="n">
        <x:f aca="0">IF(NOT(ISNUMBER(G5)),"",G5*H5)</x:f>
        <x:v>100</x:v>
      </x:c>
      <x:c r="J5" s="23" t="n">
        <x:f aca="0">IF(NOT(ISNUMBER(I5)),"",I5*(1-'범례'!$C$22)*'직업'!$E$5)</x:f>
        <x:v>100</x:v>
      </x:c>
      <x:c r="K5" s="23" t="n">
        <x:f aca="0">IF(NOT(ISNUMBER(J5)),"",J5*IF(ISNUMBER(SEARCH("광역",$C5)),'범례'!$C$30,1))</x:f>
        <x:v>100</x:v>
      </x:c>
      <x:c r="L5" s="22" t="n">
        <x:f aca="0">IF(OR(NOT(ISNUMBER(J5)),NOT(ISNUMBER(D5)),D5=0),"",J5/D5)</x:f>
        <x:v>33.333333333333336</x:v>
      </x:c>
      <x:c r="M5" s="22" t="n">
        <x:f aca="0">IF(OR(NOT(ISNUMBER(K5)),NOT(ISNUMBER(D5)),D5=0),"",K5/D5)</x:f>
        <x:v>33.333333333333336</x:v>
      </x:c>
      <x:c r="N5" s="22" t="n">
        <x:f aca="0">IF(OR(NOT(ISNUMBER(K5)),NOT(ISNUMBER(F5)),F5=0),"",K5/F5)</x:f>
        <x:v>250</x:v>
      </x:c>
      <x:c r="O5" s="17"/>
      <x:c r="P5" s="17"/>
      <x:c r="Q5" s="20" t="s">
        <x:v>84</x:v>
      </x:c>
      <x:c r="R5" s="22" t="n">
        <x:f aca="0">IF(AND(LEFT($C5,1)="딜",ISNUMBER(M5)),M5,"")</x:f>
        <x:v>33.333333333333336</x:v>
      </x:c>
      <x:c r="S5" s="22" t="n">
        <x:f aca="0">IF(AND(LEFT($C5,1)="딜",ISNUMBER(N5)),N5,"")</x:f>
        <x:v>250</x:v>
      </x:c>
    </x:row>
    <x:row r="6" ht="15" hidden="0">
      <x:c r="A6" s="11" t="s">
        <x:v>85</x:v>
      </x:c>
      <x:c r="B6" s="17" t="s">
        <x:v>86</x:v>
      </x:c>
      <x:c r="C6" s="17" t="s">
        <x:v>83</x:v>
      </x:c>
      <x:c r="D6" s="17" t="n">
        <x:v>4</x:v>
      </x:c>
      <x:c r="E6" s="17" t="n">
        <x:v>0.3</x:v>
      </x:c>
      <x:c r="F6" s="22" t="n">
        <x:f aca="0">IF(NOT(ISNUMBER(E6)),"",MAX(E6,'범례'!$C$26))</x:f>
        <x:v>0.4</x:v>
      </x:c>
      <x:c r="G6" s="17" t="n">
        <x:v>120</x:v>
      </x:c>
      <x:c r="H6" s="17" t="n">
        <x:v>1</x:v>
      </x:c>
      <x:c r="I6" s="19" t="n">
        <x:f aca="0">IF(NOT(ISNUMBER(G6)),"",G6*H6)</x:f>
        <x:v>120</x:v>
      </x:c>
      <x:c r="J6" s="23" t="n">
        <x:f aca="0">IF(NOT(ISNUMBER(I6)),"",I6*(1-'범례'!$C$22)*'직업'!$E$5)</x:f>
        <x:v>120</x:v>
      </x:c>
      <x:c r="K6" s="23" t="n">
        <x:f aca="0">IF(NOT(ISNUMBER(J6)),"",J6*IF(ISNUMBER(SEARCH("광역",$C6)),'범례'!$C$30,1))</x:f>
        <x:v>120</x:v>
      </x:c>
      <x:c r="L6" s="22" t="n">
        <x:f aca="0">IF(OR(NOT(ISNUMBER(J6)),NOT(ISNUMBER(D6)),D6=0),"",J6/D6)</x:f>
        <x:v>30</x:v>
      </x:c>
      <x:c r="M6" s="22" t="n">
        <x:f aca="0">IF(OR(NOT(ISNUMBER(K6)),NOT(ISNUMBER(D6)),D6=0),"",K6/D6)</x:f>
        <x:v>30</x:v>
      </x:c>
      <x:c r="N6" s="22" t="n">
        <x:f aca="0">IF(OR(NOT(ISNUMBER(K6)),NOT(ISNUMBER(F6)),F6=0),"",K6/F6)</x:f>
        <x:v>300</x:v>
      </x:c>
      <x:c r="O6" s="17"/>
      <x:c r="P6" s="17"/>
      <x:c r="Q6" s="24" t="s">
        <x:v>87</x:v>
      </x:c>
      <x:c r="R6" s="22" t="n">
        <x:f aca="0">IF(AND(LEFT($C6,1)="딜",ISNUMBER(M6)),M6,"")</x:f>
        <x:v>30</x:v>
      </x:c>
      <x:c r="S6" s="22" t="n">
        <x:f aca="0">IF(AND(LEFT($C6,1)="딜",ISNUMBER(N6)),N6,"")</x:f>
        <x:v>300</x:v>
      </x:c>
    </x:row>
    <x:row r="7" ht="15" hidden="0">
      <x:c r="A7" s="11" t="s">
        <x:v>88</x:v>
      </x:c>
      <x:c r="B7" s="17" t="s">
        <x:v>89</x:v>
      </x:c>
      <x:c r="C7" s="17" t="s">
        <x:v>90</x:v>
      </x:c>
      <x:c r="D7" s="17" t="n">
        <x:v>3</x:v>
      </x:c>
      <x:c r="E7" s="17" t="n">
        <x:v>0.2</x:v>
      </x:c>
      <x:c r="F7" s="22" t="n">
        <x:f aca="0">IF(NOT(ISNUMBER(E7)),"",MAX(E7,'범례'!$C$26))</x:f>
        <x:v>0.4</x:v>
      </x:c>
      <x:c r="G7" s="17" t="n">
        <x:v>0</x:v>
      </x:c>
      <x:c r="H7" s="17" t="n">
        <x:v>1</x:v>
      </x:c>
      <x:c r="I7" s="19" t="n">
        <x:f aca="0">IF(NOT(ISNUMBER(G7)),"",G7*H7)</x:f>
        <x:v>0</x:v>
      </x:c>
      <x:c r="J7" s="23" t="n">
        <x:f aca="0">IF(NOT(ISNUMBER(I7)),"",I7*(1-'범례'!$C$22)*'직업'!$E$5)</x:f>
        <x:v>0</x:v>
      </x:c>
      <x:c r="K7" s="23" t="n">
        <x:f aca="0">IF(NOT(ISNUMBER(J7)),"",J7*IF(ISNUMBER(SEARCH("광역",$C7)),'범례'!$C$30,1))</x:f>
        <x:v>0</x:v>
      </x:c>
      <x:c r="L7" s="22" t="n">
        <x:f aca="0">IF(OR(NOT(ISNUMBER(J7)),NOT(ISNUMBER(D7)),D7=0),"",J7/D7)</x:f>
        <x:v>0</x:v>
      </x:c>
      <x:c r="M7" s="22" t="n">
        <x:f aca="0">IF(OR(NOT(ISNUMBER(K7)),NOT(ISNUMBER(D7)),D7=0),"",K7/D7)</x:f>
        <x:v>0</x:v>
      </x:c>
      <x:c r="N7" s="22" t="n">
        <x:f aca="0">IF(OR(NOT(ISNUMBER(K7)),NOT(ISNUMBER(F7)),F7=0),"",K7/F7)</x:f>
        <x:v>0</x:v>
      </x:c>
      <x:c r="O7" s="17" t="n">
        <x:v>120</x:v>
      </x:c>
      <x:c r="P7" s="17"/>
      <x:c r="Q7" s="24" t="s">
        <x:v>91</x:v>
      </x:c>
      <x:c r="R7" s="22" t="str">
        <x:f aca="0">IF(AND(LEFT($C7,1)="딜",ISNUMBER(M7)),M7,"")</x:f>
      </x:c>
      <x:c r="S7" s="22" t="str">
        <x:f aca="0">IF(AND(LEFT($C7,1)="딜",ISNUMBER(N7)),N7,"")</x:f>
      </x:c>
    </x:row>
    <x:row r="8" ht="15" hidden="0">
      <x:c r="A8" s="11" t="s">
        <x:v>92</x:v>
      </x:c>
      <x:c r="B8" s="17" t="s">
        <x:v>93</x:v>
      </x:c>
      <x:c r="C8" s="17" t="s">
        <x:v>94</x:v>
      </x:c>
      <x:c r="D8" s="17">
        <x:v>2</x:v>
      </x:c>
      <x:c r="E8" s="17" t="n">
        <x:v>0.2</x:v>
      </x:c>
      <x:c r="F8" s="22" t="n">
        <x:f aca="0">IF(NOT(ISNUMBER(E8)),"",MAX(E8,'범례'!$C$26))</x:f>
        <x:v>0.4</x:v>
      </x:c>
      <x:c r="G8" s="17" t="n">
        <x:v>0</x:v>
      </x:c>
      <x:c r="H8" s="17" t="n">
        <x:v>1</x:v>
      </x:c>
      <x:c r="I8" s="19" t="n">
        <x:f aca="0">IF(NOT(ISNUMBER(G8)),"",G8*H8)</x:f>
        <x:v>0</x:v>
      </x:c>
      <x:c r="J8" s="23" t="n">
        <x:f aca="0">IF(NOT(ISNUMBER(I8)),"",I8*(1-'범례'!$C$22)*'직업'!$E$5)</x:f>
        <x:v>0</x:v>
      </x:c>
      <x:c r="K8" s="23" t="n">
        <x:f aca="0">IF(NOT(ISNUMBER(J8)),"",J8*IF(ISNUMBER(SEARCH("광역",$C8)),'범례'!$C$30,1))</x:f>
        <x:v>0</x:v>
      </x:c>
      <x:c r="L8" s="22" t="n">
        <x:f aca="0">IF(OR(NOT(ISNUMBER(J8)),NOT(ISNUMBER(D8)),D8=0),"",J8/D8)</x:f>
        <x:v>0</x:v>
      </x:c>
      <x:c r="M8" s="22" t="n">
        <x:f aca="0">IF(OR(NOT(ISNUMBER(K8)),NOT(ISNUMBER(D8)),D8=0),"",K8/D8)</x:f>
        <x:v>0</x:v>
      </x:c>
      <x:c r="N8" s="22" t="n">
        <x:f aca="0">IF(OR(NOT(ISNUMBER(K8)),NOT(ISNUMBER(F8)),F8=0),"",K8/F8)</x:f>
        <x:v>0</x:v>
      </x:c>
      <x:c r="O8" s="17"/>
      <x:c r="P8" s="17">
        <x:v>2.5</x:v>
      </x:c>
      <x:c r="Q8" s="24" t="str">
        <x:v>구현·검증 기록: 07 D-04. 사양: 10 A14~A16.</x:v>
      </x:c>
      <x:c r="R8" s="22" t="str">
        <x:f aca="0">IF(AND(LEFT($C8,1)="딜",ISNUMBER(M8)),M8,"")</x:f>
      </x:c>
      <x:c r="S8" s="22" t="str">
        <x:f aca="0">IF(AND(LEFT($C8,1)="딜",ISNUMBER(N8)),N8,"")</x:f>
      </x:c>
    </x:row>
    <x:row r="9" ht="15" hidden="0">
      <x:c r="A9" s="11" t="s">
        <x:v>95</x:v>
      </x:c>
      <x:c r="B9" s="17" t="s">
        <x:v>96</x:v>
      </x:c>
      <x:c r="C9" s="17" t="s">
        <x:v>83</x:v>
      </x:c>
      <x:c r="D9" s="17" t="n">
        <x:v>6</x:v>
      </x:c>
      <x:c r="E9" s="17" t="n">
        <x:v>1</x:v>
      </x:c>
      <x:c r="F9" s="22" t="n">
        <x:f aca="0">IF(NOT(ISNUMBER(E9)),"",MAX(E9,'범례'!$C$26))</x:f>
        <x:v>1</x:v>
      </x:c>
      <x:c r="G9" s="17" t="n">
        <x:v>50</x:v>
      </x:c>
      <x:c r="H9" s="17" t="n">
        <x:v>3</x:v>
      </x:c>
      <x:c r="I9" s="19" t="n">
        <x:f aca="0">IF(NOT(ISNUMBER(G9)),"",G9*H9)</x:f>
        <x:v>150</x:v>
      </x:c>
      <x:c r="J9" s="23" t="n">
        <x:f aca="0">IF(NOT(ISNUMBER(I9)),"",I9*(1-'범례'!$C$22)*'직업'!$E$5)</x:f>
        <x:v>150</x:v>
      </x:c>
      <x:c r="K9" s="23" t="n">
        <x:f aca="0">IF(NOT(ISNUMBER(J9)),"",J9*IF(ISNUMBER(SEARCH("광역",$C9)),'범례'!$C$30,1))</x:f>
        <x:v>150</x:v>
      </x:c>
      <x:c r="L9" s="22" t="n">
        <x:f aca="0">IF(OR(NOT(ISNUMBER(J9)),NOT(ISNUMBER(D9)),D9=0),"",J9/D9)</x:f>
        <x:v>25</x:v>
      </x:c>
      <x:c r="M9" s="22" t="n">
        <x:f aca="0">IF(OR(NOT(ISNUMBER(K9)),NOT(ISNUMBER(D9)),D9=0),"",K9/D9)</x:f>
        <x:v>25</x:v>
      </x:c>
      <x:c r="N9" s="22" t="n">
        <x:f aca="0">IF(OR(NOT(ISNUMBER(K9)),NOT(ISNUMBER(F9)),F9=0),"",K9/F9)</x:f>
        <x:v>150</x:v>
      </x:c>
      <x:c r="O9" s="17"/>
      <x:c r="P9" s="17"/>
      <x:c r="Q9" s="24" t="s">
        <x:v>97</x:v>
      </x:c>
      <x:c r="R9" s="22" t="n">
        <x:f aca="0">IF(AND(LEFT($C9,1)="딜",ISNUMBER(M9)),M9,"")</x:f>
        <x:v>25</x:v>
      </x:c>
      <x:c r="S9" s="22" t="n">
        <x:f aca="0">IF(AND(LEFT($C9,1)="딜",ISNUMBER(N9)),N9,"")</x:f>
        <x:v>150</x:v>
      </x:c>
    </x:row>
    <x:row r="10" ht="15" hidden="0">
      <x:c r="A10" s="11" t="s">
        <x:v>98</x:v>
      </x:c>
      <x:c r="B10" s="17" t="s">
        <x:v>99</x:v>
      </x:c>
      <x:c r="C10" s="17" t="s">
        <x:v>83</x:v>
      </x:c>
      <x:c r="D10" s="17" t="n">
        <x:v>5</x:v>
      </x:c>
      <x:c r="E10" s="17" t="n">
        <x:v>0.8</x:v>
      </x:c>
      <x:c r="F10" s="22" t="n">
        <x:f aca="0">IF(NOT(ISNUMBER(E10)),"",MAX(E10,'범례'!$C$26))</x:f>
        <x:v>0.8</x:v>
      </x:c>
      <x:c r="G10" s="17" t="n">
        <x:v>110</x:v>
      </x:c>
      <x:c r="H10" s="17" t="n">
        <x:v>1</x:v>
      </x:c>
      <x:c r="I10" s="19" t="n">
        <x:f aca="0">IF(NOT(ISNUMBER(G10)),"",G10*H10)</x:f>
        <x:v>110</x:v>
      </x:c>
      <x:c r="J10" s="23" t="n">
        <x:f aca="0">IF(NOT(ISNUMBER(I10)),"",I10*(1-'범례'!$C$22)*'직업'!$E$5)</x:f>
        <x:v>110</x:v>
      </x:c>
      <x:c r="K10" s="23" t="n">
        <x:f aca="0">IF(NOT(ISNUMBER(J10)),"",J10*IF(ISNUMBER(SEARCH("광역",$C10)),'범례'!$C$30,1))</x:f>
        <x:v>110</x:v>
      </x:c>
      <x:c r="L10" s="22" t="n">
        <x:f aca="0">IF(OR(NOT(ISNUMBER(J10)),NOT(ISNUMBER(D10)),D10=0),"",J10/D10)</x:f>
        <x:v>22</x:v>
      </x:c>
      <x:c r="M10" s="22" t="n">
        <x:f aca="0">IF(OR(NOT(ISNUMBER(K10)),NOT(ISNUMBER(D10)),D10=0),"",K10/D10)</x:f>
        <x:v>22</x:v>
      </x:c>
      <x:c r="N10" s="22" t="n">
        <x:f aca="0">IF(OR(NOT(ISNUMBER(K10)),NOT(ISNUMBER(F10)),F10=0),"",K10/F10)</x:f>
        <x:v>137.5</x:v>
      </x:c>
      <x:c r="O10" s="17"/>
      <x:c r="P10" s="17"/>
      <x:c r="Q10" s="24" t="s">
        <x:v>100</x:v>
      </x:c>
      <x:c r="R10" s="22" t="n">
        <x:f aca="0">IF(AND(LEFT($C10,1)="딜",ISNUMBER(M10)),M10,"")</x:f>
        <x:v>22</x:v>
      </x:c>
      <x:c r="S10" s="22" t="n">
        <x:f aca="0">IF(AND(LEFT($C10,1)="딜",ISNUMBER(N10)),N10,"")</x:f>
        <x:v>137.5</x:v>
      </x:c>
    </x:row>
    <x:row r="11" ht="15" hidden="0">
      <x:c r="A11" s="11" t="s">
        <x:v>101</x:v>
      </x:c>
      <x:c r="B11" s="17" t="s">
        <x:v>102</x:v>
      </x:c>
      <x:c r="C11" s="17" t="s">
        <x:v>83</x:v>
      </x:c>
      <x:c r="D11" s="17" t="n">
        <x:v>5</x:v>
      </x:c>
      <x:c r="E11" s="17" t="n">
        <x:v>0.6</x:v>
      </x:c>
      <x:c r="F11" s="22" t="n">
        <x:f aca="0">IF(NOT(ISNUMBER(E11)),"",MAX(E11,'범례'!$C$26))</x:f>
        <x:v>0.6</x:v>
      </x:c>
      <x:c r="G11" s="17" t="n">
        <x:v>150</x:v>
      </x:c>
      <x:c r="H11" s="17" t="n">
        <x:v>1</x:v>
      </x:c>
      <x:c r="I11" s="19" t="n">
        <x:f aca="0">IF(NOT(ISNUMBER(G11)),"",G11*H11)</x:f>
        <x:v>150</x:v>
      </x:c>
      <x:c r="J11" s="23" t="n">
        <x:f aca="0">IF(NOT(ISNUMBER(I11)),"",I11*(1-'범례'!$C$22)*'직업'!$E$5)</x:f>
        <x:v>150</x:v>
      </x:c>
      <x:c r="K11" s="23" t="n">
        <x:f aca="0">IF(NOT(ISNUMBER(J11)),"",J11*IF(ISNUMBER(SEARCH("광역",$C11)),'범례'!$C$30,1))</x:f>
        <x:v>150</x:v>
      </x:c>
      <x:c r="L11" s="22" t="n">
        <x:f aca="0">IF(OR(NOT(ISNUMBER(J11)),NOT(ISNUMBER(D11)),D11=0),"",J11/D11)</x:f>
        <x:v>30</x:v>
      </x:c>
      <x:c r="M11" s="22" t="n">
        <x:f aca="0">IF(OR(NOT(ISNUMBER(K11)),NOT(ISNUMBER(D11)),D11=0),"",K11/D11)</x:f>
        <x:v>30</x:v>
      </x:c>
      <x:c r="N11" s="22" t="n">
        <x:f aca="0">IF(OR(NOT(ISNUMBER(K11)),NOT(ISNUMBER(F11)),F11=0),"",K11/F11)</x:f>
        <x:v>250</x:v>
      </x:c>
      <x:c r="O11" s="17"/>
      <x:c r="P11" s="17"/>
      <x:c r="Q11" s="24" t="s">
        <x:v>103</x:v>
      </x:c>
      <x:c r="R11" s="22" t="n">
        <x:f aca="0">IF(AND(LEFT($C11,1)="딜",ISNUMBER(M11)),M11,"")</x:f>
        <x:v>30</x:v>
      </x:c>
      <x:c r="S11" s="22" t="n">
        <x:f aca="0">IF(AND(LEFT($C11,1)="딜",ISNUMBER(N11)),N11,"")</x:f>
        <x:v>250</x:v>
      </x:c>
    </x:row>
    <x:row r="12" ht="15" hidden="0">
      <x:c r="A12" s="11" t="s">
        <x:v>104</x:v>
      </x:c>
      <x:c r="B12" s="17" t="s">
        <x:v>105</x:v>
      </x:c>
      <x:c r="C12" s="17" t="s">
        <x:v>83</x:v>
      </x:c>
      <x:c r="D12" s="17" t="n">
        <x:v>7</x:v>
      </x:c>
      <x:c r="E12" s="17" t="n">
        <x:v>1.2</x:v>
      </x:c>
      <x:c r="F12" s="22" t="n">
        <x:f aca="0">IF(NOT(ISNUMBER(E12)),"",MAX(E12,'범례'!$C$26))</x:f>
        <x:v>1.2</x:v>
      </x:c>
      <x:c r="G12" s="17" t="n">
        <x:v>90</x:v>
      </x:c>
      <x:c r="H12" s="17" t="n">
        <x:v>2</x:v>
      </x:c>
      <x:c r="I12" s="19" t="n">
        <x:f aca="0">IF(NOT(ISNUMBER(G12)),"",G12*H12)</x:f>
        <x:v>180</x:v>
      </x:c>
      <x:c r="J12" s="23" t="n">
        <x:f aca="0">IF(NOT(ISNUMBER(I12)),"",I12*(1-'범례'!$C$22)*'직업'!$E$5)</x:f>
        <x:v>180</x:v>
      </x:c>
      <x:c r="K12" s="23" t="n">
        <x:f aca="0">IF(NOT(ISNUMBER(J12)),"",J12*IF(ISNUMBER(SEARCH("광역",$C12)),'범례'!$C$30,1))</x:f>
        <x:v>180</x:v>
      </x:c>
      <x:c r="L12" s="22" t="n">
        <x:f aca="0">IF(OR(NOT(ISNUMBER(J12)),NOT(ISNUMBER(D12)),D12=0),"",J12/D12)</x:f>
        <x:v>25.714285714285715</x:v>
      </x:c>
      <x:c r="M12" s="22" t="n">
        <x:f aca="0">IF(OR(NOT(ISNUMBER(K12)),NOT(ISNUMBER(D12)),D12=0),"",K12/D12)</x:f>
        <x:v>25.714285714285715</x:v>
      </x:c>
      <x:c r="N12" s="22" t="n">
        <x:f aca="0">IF(OR(NOT(ISNUMBER(K12)),NOT(ISNUMBER(F12)),F12=0),"",K12/F12)</x:f>
        <x:v>150</x:v>
      </x:c>
      <x:c r="O12" s="17"/>
      <x:c r="P12" s="17"/>
      <x:c r="Q12" s="24" t="s">
        <x:v>106</x:v>
      </x:c>
      <x:c r="R12" s="22" t="n">
        <x:f aca="0">IF(AND(LEFT($C12,1)="딜",ISNUMBER(M12)),M12,"")</x:f>
        <x:v>25.714285714285715</x:v>
      </x:c>
      <x:c r="S12" s="22" t="n">
        <x:f aca="0">IF(AND(LEFT($C12,1)="딜",ISNUMBER(N12)),N12,"")</x:f>
        <x:v>150</x:v>
      </x:c>
    </x:row>
    <x:row r="13" ht="15" hidden="0">
      <x:c r="A13" s="17"/>
      <x:c r="B13" s="17"/>
      <x:c r="C13" s="17"/>
      <x:c r="D13" s="17"/>
      <x:c r="E13" s="17"/>
      <x:c r="F13" s="22" t="str">
        <x:f aca="0">IF(NOT(ISNUMBER(E13)),"",MAX(E13,'범례'!$C$26))</x:f>
      </x:c>
      <x:c r="G13" s="17"/>
      <x:c r="H13" s="17"/>
      <x:c r="I13" s="19" t="str">
        <x:f aca="0">IF(NOT(ISNUMBER(G13)),"",G13*H13)</x:f>
      </x:c>
      <x:c r="J13" s="23" t="str">
        <x:f aca="0">IF(NOT(ISNUMBER(I13)),"",I13*(1-'범례'!$C$22)*'직업'!$E$5)</x:f>
      </x:c>
      <x:c r="K13" s="23" t="str">
        <x:f aca="0">IF(NOT(ISNUMBER(J13)),"",J13*IF(ISNUMBER(SEARCH("광역",$C13)),'범례'!$C$30,1))</x:f>
      </x:c>
      <x:c r="L13" s="22" t="str">
        <x:f aca="0">IF(OR(NOT(ISNUMBER(J13)),NOT(ISNUMBER(D13)),D13=0),"",J13/D13)</x:f>
      </x:c>
      <x:c r="M13" s="22" t="str">
        <x:f aca="0">IF(OR(NOT(ISNUMBER(K13)),NOT(ISNUMBER(D13)),D13=0),"",K13/D13)</x:f>
      </x:c>
      <x:c r="N13" s="22" t="str">
        <x:f aca="0">IF(OR(NOT(ISNUMBER(K13)),NOT(ISNUMBER(F13)),F13=0),"",K13/F13)</x:f>
      </x:c>
      <x:c r="O13" s="17"/>
      <x:c r="P13" s="17"/>
      <x:c r="Q13" s="20"/>
      <x:c r="R13" s="22" t="str">
        <x:f aca="0">IF(AND(LEFT($C13,1)="딜",ISNUMBER(M13)),M13,"")</x:f>
      </x:c>
      <x:c r="S13" s="22" t="str">
        <x:f aca="0">IF(AND(LEFT($C13,1)="딜",ISNUMBER(N13)),N13,"")</x:f>
      </x:c>
    </x:row>
    <x:row r="14" ht="15" hidden="0">
      <x:c r="A14" s="17"/>
      <x:c r="B14" s="17"/>
      <x:c r="C14" s="17"/>
      <x:c r="D14" s="17"/>
      <x:c r="E14" s="17"/>
      <x:c r="F14" s="22" t="str">
        <x:f aca="0">IF(NOT(ISNUMBER(E14)),"",MAX(E14,'범례'!$C$26))</x:f>
      </x:c>
      <x:c r="G14" s="17"/>
      <x:c r="H14" s="17"/>
      <x:c r="I14" s="19" t="str">
        <x:f aca="0">IF(NOT(ISNUMBER(G14)),"",G14*H14)</x:f>
      </x:c>
      <x:c r="J14" s="23" t="str">
        <x:f aca="0">IF(NOT(ISNUMBER(I14)),"",I14*(1-'범례'!$C$22)*'직업'!$E$5)</x:f>
      </x:c>
      <x:c r="K14" s="23" t="str">
        <x:f aca="0">IF(NOT(ISNUMBER(J14)),"",J14*IF(ISNUMBER(SEARCH("광역",$C14)),'범례'!$C$30,1))</x:f>
      </x:c>
      <x:c r="L14" s="22" t="str">
        <x:f aca="0">IF(OR(NOT(ISNUMBER(J14)),NOT(ISNUMBER(D14)),D14=0),"",J14/D14)</x:f>
      </x:c>
      <x:c r="M14" s="22" t="str">
        <x:f aca="0">IF(OR(NOT(ISNUMBER(K14)),NOT(ISNUMBER(D14)),D14=0),"",K14/D14)</x:f>
      </x:c>
      <x:c r="N14" s="22" t="str">
        <x:f aca="0">IF(OR(NOT(ISNUMBER(K14)),NOT(ISNUMBER(F14)),F14=0),"",K14/F14)</x:f>
      </x:c>
      <x:c r="O14" s="17"/>
      <x:c r="P14" s="17"/>
      <x:c r="Q14" s="20"/>
      <x:c r="R14" s="22" t="str">
        <x:f aca="0">IF(AND(LEFT($C14,1)="딜",ISNUMBER(M14)),M14,"")</x:f>
      </x:c>
      <x:c r="S14" s="22" t="str">
        <x:f aca="0">IF(AND(LEFT($C14,1)="딜",ISNUMBER(N14)),N14,"")</x:f>
      </x:c>
    </x:row>
    <x:row r="15" ht="15" hidden="0">
      <x:c r="A15" s="17"/>
      <x:c r="B15" s="17"/>
      <x:c r="C15" s="17"/>
      <x:c r="D15" s="17"/>
      <x:c r="E15" s="17"/>
      <x:c r="F15" s="22" t="str">
        <x:f aca="0">IF(NOT(ISNUMBER(E15)),"",MAX(E15,'범례'!$C$26))</x:f>
      </x:c>
      <x:c r="G15" s="17"/>
      <x:c r="H15" s="17"/>
      <x:c r="I15" s="19" t="str">
        <x:f aca="0">IF(NOT(ISNUMBER(G15)),"",G15*H15)</x:f>
      </x:c>
      <x:c r="J15" s="23" t="str">
        <x:f aca="0">IF(NOT(ISNUMBER(I15)),"",I15*(1-'범례'!$C$22)*'직업'!$E$5)</x:f>
      </x:c>
      <x:c r="K15" s="23" t="str">
        <x:f aca="0">IF(NOT(ISNUMBER(J15)),"",J15*IF(ISNUMBER(SEARCH("광역",$C15)),'범례'!$C$30,1))</x:f>
      </x:c>
      <x:c r="L15" s="22" t="str">
        <x:f aca="0">IF(OR(NOT(ISNUMBER(J15)),NOT(ISNUMBER(D15)),D15=0),"",J15/D15)</x:f>
      </x:c>
      <x:c r="M15" s="22" t="str">
        <x:f aca="0">IF(OR(NOT(ISNUMBER(K15)),NOT(ISNUMBER(D15)),D15=0),"",K15/D15)</x:f>
      </x:c>
      <x:c r="N15" s="22" t="str">
        <x:f aca="0">IF(OR(NOT(ISNUMBER(K15)),NOT(ISNUMBER(F15)),F15=0),"",K15/F15)</x:f>
      </x:c>
      <x:c r="O15" s="17"/>
      <x:c r="P15" s="17"/>
      <x:c r="Q15" s="20"/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/>
      <x:c r="B16" s="17"/>
      <x:c r="C16" s="17"/>
      <x:c r="D16" s="17"/>
      <x:c r="E16" s="17"/>
      <x:c r="F16" s="22" t="str">
        <x:f aca="0">IF(NOT(ISNUMBER(E16)),"",MAX(E16,'범례'!$C$26))</x:f>
      </x:c>
      <x:c r="G16" s="17"/>
      <x:c r="H16" s="17"/>
      <x:c r="I16" s="19" t="str">
        <x:f aca="0">IF(NOT(ISNUMBER(G16)),"",G16*H16)</x:f>
      </x:c>
      <x:c r="J16" s="23" t="str">
        <x:f aca="0">IF(NOT(ISNUMBER(I16)),"",I16*(1-'범례'!$C$22)*'직업'!$E$5)</x:f>
      </x:c>
      <x:c r="K16" s="23" t="str">
        <x:f aca="0">IF(NOT(ISNUMBER(J16)),"",J16*IF(ISNUMBER(SEARCH("광역",$C16)),'범례'!$C$30,1))</x:f>
      </x:c>
      <x:c r="L16" s="22" t="str">
        <x:f aca="0">IF(OR(NOT(ISNUMBER(J16)),NOT(ISNUMBER(D16)),D16=0),"",J16/D16)</x:f>
      </x:c>
      <x:c r="M16" s="22" t="str">
        <x:f aca="0">IF(OR(NOT(ISNUMBER(K16)),NOT(ISNUMBER(D16)),D16=0),"",K16/D16)</x:f>
      </x:c>
      <x:c r="N16" s="22" t="str">
        <x:f aca="0">IF(OR(NOT(ISNUMBER(K16)),NOT(ISNUMBER(F16)),F16=0),"",K16/F16)</x:f>
      </x:c>
      <x:c r="O16" s="17"/>
      <x:c r="P16" s="17"/>
      <x:c r="Q16" s="20"/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/>
      <x:c r="B17" s="17"/>
      <x:c r="C17" s="17"/>
      <x:c r="D17" s="17"/>
      <x:c r="E17" s="17"/>
      <x:c r="F17" s="22" t="str">
        <x:f aca="0">IF(NOT(ISNUMBER(E17)),"",MAX(E17,'범례'!$C$26))</x:f>
      </x:c>
      <x:c r="G17" s="17"/>
      <x:c r="H17" s="17"/>
      <x:c r="I17" s="19" t="str">
        <x:f aca="0">IF(NOT(ISNUMBER(G17)),"",G17*H17)</x:f>
      </x:c>
      <x:c r="J17" s="23" t="str">
        <x:f aca="0">IF(NOT(ISNUMBER(I17)),"",I17*(1-'범례'!$C$22)*'직업'!$E$5)</x:f>
      </x:c>
      <x:c r="K17" s="23" t="str">
        <x:f aca="0">IF(NOT(ISNUMBER(J17)),"",J17*IF(ISNUMBER(SEARCH("광역",$C17)),'범례'!$C$30,1))</x:f>
      </x:c>
      <x:c r="L17" s="22" t="str">
        <x:f aca="0">IF(OR(NOT(ISNUMBER(J17)),NOT(ISNUMBER(D17)),D17=0),"",J17/D17)</x:f>
      </x:c>
      <x:c r="M17" s="22" t="str">
        <x:f aca="0">IF(OR(NOT(ISNUMBER(K17)),NOT(ISNUMBER(D17)),D17=0),"",K17/D17)</x:f>
      </x:c>
      <x:c r="N17" s="22" t="str">
        <x:f aca="0">IF(OR(NOT(ISNUMBER(K17)),NOT(ISNUMBER(F17)),F17=0),"",K17/F17)</x:f>
      </x:c>
      <x:c r="O17" s="17"/>
      <x:c r="P17" s="17"/>
      <x:c r="Q17" s="20"/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/>
      <x:c r="B18" s="17"/>
      <x:c r="C18" s="17"/>
      <x:c r="D18" s="17"/>
      <x:c r="E18" s="17"/>
      <x:c r="F18" s="22" t="str">
        <x:f aca="0">IF(NOT(ISNUMBER(E18)),"",MAX(E18,'범례'!$C$26))</x:f>
      </x:c>
      <x:c r="G18" s="17"/>
      <x:c r="H18" s="17"/>
      <x:c r="I18" s="19" t="str">
        <x:f aca="0">IF(NOT(ISNUMBER(G18)),"",G18*H18)</x:f>
      </x:c>
      <x:c r="J18" s="23" t="str">
        <x:f aca="0">IF(NOT(ISNUMBER(I18)),"",I18*(1-'범례'!$C$22)*'직업'!$E$5)</x:f>
      </x:c>
      <x:c r="K18" s="23" t="str">
        <x:f aca="0">IF(NOT(ISNUMBER(J18)),"",J18*IF(ISNUMBER(SEARCH("광역",$C18)),'범례'!$C$30,1))</x:f>
      </x:c>
      <x:c r="L18" s="22" t="str">
        <x:f aca="0">IF(OR(NOT(ISNUMBER(J18)),NOT(ISNUMBER(D18)),D18=0),"",J18/D18)</x:f>
      </x:c>
      <x:c r="M18" s="22" t="str">
        <x:f aca="0">IF(OR(NOT(ISNUMBER(K18)),NOT(ISNUMBER(D18)),D18=0),"",K18/D18)</x:f>
      </x:c>
      <x:c r="N18" s="22" t="str">
        <x:f aca="0">IF(OR(NOT(ISNUMBER(K18)),NOT(ISNUMBER(F18)),F18=0),"",K18/F18)</x:f>
      </x:c>
      <x:c r="O18" s="17"/>
      <x:c r="P18" s="17"/>
      <x:c r="Q18" s="20"/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">
        <x:v>107</x:v>
      </x:c>
    </x:row>
    <x:row r="23" ht="29.850000381469727" hidden="0">
      <x:c r="A23" s="10" t="s">
        <x:v>108</x:v>
      </x:c>
      <x:c r="B23" s="22" t="n">
        <x:f aca="0">IFERROR(MAX(R5:R18),"")</x:f>
        <x:v>33.333333333333336</x:v>
      </x:c>
      <x:c r="C23" s="25" t="s">
        <x:v>109</x:v>
      </x:c>
    </x:row>
    <x:row r="24" ht="29.850000381469727" hidden="0">
      <x:c r="A24" s="10" t="s">
        <x:v>110</x:v>
      </x:c>
      <x:c r="B24" s="22" t="n">
        <x:f aca="0">IFERROR(MIN(R5:R18),"")</x:f>
        <x:v>22</x:v>
      </x:c>
      <x:c r="C24" s="25"/>
    </x:row>
    <x:row r="25" ht="29.850000381469727" hidden="0">
      <x:c r="A25" s="10" t="s">
        <x:v>111</x:v>
      </x:c>
      <x:c r="B25" s="19" t="n">
        <x:f aca="0">IFERROR(B23/B24,"")</x:f>
        <x:v>1.5151515151515154</x:v>
      </x:c>
      <x:c r="C25" s="25" t="s">
        <x:v>112</x:v>
      </x:c>
    </x:row>
    <x:row r="26" ht="29.850000381469727" hidden="0">
      <x:c r="A26" s="10" t="s">
        <x:v>113</x:v>
      </x:c>
      <x:c r="B26" s="22" t="n">
        <x:f aca="0">IFERROR(MAX(S5:S18),"")</x:f>
        <x:v>300</x:v>
      </x:c>
      <x:c r="C26" s="25" t="s">
        <x:v>114</x:v>
      </x:c>
    </x:row>
    <x:row r="27" ht="29.850000381469727" hidden="0">
      <x:c r="A27" s="10" t="s">
        <x:v>115</x:v>
      </x:c>
      <x:c r="B27" s="22" t="n">
        <x:f aca="0">IFERROR(MIN(S5:S18),"")</x:f>
        <x:v>137.5</x:v>
      </x:c>
      <x:c r="C27" s="25"/>
    </x:row>
    <x:row r="28" ht="29.850000381469727" hidden="0">
      <x:c r="A28" s="10" t="s">
        <x:v>116</x:v>
      </x:c>
      <x:c r="B28" s="19" t="n">
        <x:f aca="0">IFERROR(B26/B27,"")</x:f>
        <x:v>2.1818181818181817</x:v>
      </x:c>
      <x:c r="C28" s="25" t="s">
        <x:v>112</x:v>
      </x:c>
    </x:row>
    <x:row r="29" ht="29.850000381469727" hidden="0">
      <x:c r="A29" s="10" t="s">
        <x:v>117</x:v>
      </x:c>
      <x:c r="B29" s="23" t="n">
        <x:f aca="0">COUNTIF(C5:C18,"딜/단일")</x:f>
        <x:v>6</x:v>
      </x:c>
      <x:c r="C29" s="25" t="s">
        <x:v>118</x:v>
      </x:c>
    </x:row>
    <x:row r="30" ht="29.850000381469727" hidden="0">
      <x:c r="A30" s="10" t="s">
        <x:v>119</x:v>
      </x:c>
      <x:c r="B30" s="23" t="n">
        <x:f aca="0">COUNTIF(C5:C18,"딜/광역")</x:f>
        <x:v>0</x:v>
      </x:c>
      <x:c r="C30" s="25" t="s">
        <x:v>118</x:v>
      </x:c>
    </x:row>
    <x:row r="31" ht="29.850000381469727" hidden="0">
      <x:c r="A31" s="10" t="s">
        <x:v>120</x:v>
      </x:c>
      <x:c r="B31" s="23" t="n">
        <x:f aca="0">COUNTIF(C5:C18,"차단")</x:f>
        <x:v>1</x:v>
      </x:c>
      <x:c r="C31" s="25" t="s">
        <x:v>121</x:v>
      </x:c>
    </x:row>
    <x:row r="32" ht="29.850000381469727" hidden="0">
      <x:c r="A32" s="10" t="s">
        <x:v>122</x:v>
      </x:c>
      <x:c r="B32" s="23" t="n">
        <x:f aca="0">COUNTIF(C5:C18,"방어")</x:f>
        <x:v>1</x:v>
      </x:c>
      <x:c r="C32" s="25" t="s">
        <x:v>121</x:v>
      </x:c>
    </x:row>
    <x:row r="34" ht="15" hidden="0">
      <x:c r="A34" s="14" t="s">
        <x:v>123</x:v>
      </x:c>
    </x:row>
    <x:row r="35" ht="15" hidden="0">
      <x:c r="A35" s="14" t="s">
        <x:v>124</x:v>
      </x:c>
    </x:row>
    <x:row r="37" ht="15" hidden="0">
      <x:c r="A37" s="3" t="s">
        <x:v>125</x:v>
      </x:c>
    </x:row>
    <x:row r="38" ht="128.35000610351562" hidden="0">
      <x:c r="A38" s="25" t="s">
        <x:v>126</x:v>
      </x:c>
    </x:row>
    <x:row r="39" ht="166.39999389648438" hidden="0">
      <x:c r="A39" s="26" t="s">
        <x:v>127</x:v>
      </x:c>
    </x:row>
    <x:row r="40" ht="153.6999969482422" hidden="0">
      <x:c r="A40" s="25" t="s">
        <x:v>128</x:v>
      </x:c>
    </x:row>
    <x:row r="41" ht="164.14999389648438" hidden="0">
      <x:c r="A41" s="25" t="s">
        <x:v>129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130</x:v>
      </x:c>
    </x:row>
    <x:row r="2" ht="15" hidden="0">
      <x:c r="A2" s="21" t="s">
        <x:v>131</x:v>
      </x:c>
    </x:row>
    <x:row r="4" ht="31.5" hidden="0" customHeight="1">
      <x:c r="A4" s="8" t="s">
        <x:v>132</x:v>
      </x:c>
      <x:c r="B4" s="8" t="s">
        <x:v>63</x:v>
      </x:c>
      <x:c r="C4" s="8" t="s">
        <x:v>64</x:v>
      </x:c>
      <x:c r="D4" s="8" t="s">
        <x:v>65</x:v>
      </x:c>
      <x:c r="E4" s="8" t="s">
        <x:v>67</x:v>
      </x:c>
      <x:c r="F4" s="8" t="s">
        <x:v>133</x:v>
      </x:c>
      <x:c r="G4" s="8" t="s">
        <x:v>134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135</x:v>
      </x:c>
      <x:c r="L4" s="8" t="s">
        <x:v>136</x:v>
      </x:c>
    </x:row>
    <x:row r="5" ht="15" hidden="0">
      <x:c r="A5" s="27" t="n">
        <x:v>1</x:v>
      </x:c>
      <x:c r="B5" s="17" t="s">
        <x:v>82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3</x:v>
      </x:c>
      <x:c r="E5" s="22" t="n">
        <x:f aca="0">IFERROR(INDEX('스킬'!$F:$F,MATCH($B5,'스킬'!$B:$B,0)),"")</x:f>
        <x:v>0.4</x:v>
      </x:c>
      <x:c r="F5" s="23" t="n">
        <x:f aca="0">IFERROR(INDEX('스킬'!$J:$J,MATCH($B5,'스킬'!$B:$B,0)),"")</x:f>
        <x:v>100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">
        <x:v>86</x:v>
      </x:c>
      <x:c r="C6" s="27" t="str">
        <x:f aca="0">IFERROR(INDEX('스킬'!$C:$C,MATCH($B6,'스킬'!$B:$B,0)),"")</x:f>
        <x:v>딜/단일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0.4</x:v>
      </x:c>
      <x:c r="F6" s="23" t="n">
        <x:f aca="0">IFERROR(INDEX('스킬'!$J:$J,MATCH($B6,'스킬'!$B:$B,0)),"")</x:f>
        <x:v>120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">
        <x:v>89</x:v>
      </x:c>
      <x:c r="C7" s="27" t="str">
        <x:f aca="0">IFERROR(INDEX('스킬'!$C:$C,MATCH($B7,'스킬'!$B:$B,0)),"")</x:f>
        <x:v>방어</x:v>
      </x:c>
      <x:c r="D7" s="23" t="n">
        <x:f aca="0">IFERROR(INDEX('스킬'!$D:$D,MATCH($B7,'스킬'!$B:$B,0)),"")</x:f>
        <x:v>3</x:v>
      </x:c>
      <x:c r="E7" s="22" t="n">
        <x:f aca="0">IFERROR(INDEX('스킬'!$F:$F,MATCH($B7,'스킬'!$B:$B,0)),"")</x:f>
        <x:v>0.4</x:v>
      </x:c>
      <x:c r="F7" s="23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">
        <x:v>93</x:v>
      </x:c>
      <x:c r="C8" s="27" t="str">
        <x:f aca="0">IFERROR(INDEX('스킬'!$C:$C,MATCH($B8,'스킬'!$B:$B,0)),"")</x:f>
        <x:v>차단</x:v>
      </x:c>
      <x:c r="D8" s="23" t="n">
        <x:f aca="0">IFERROR(INDEX('스킬'!$D:$D,MATCH($B8,'스킬'!$B:$B,0)),"")</x:f>
        <x:v>2</x:v>
      </x:c>
      <x:c r="E8" s="22" t="n">
        <x:f aca="0">IFERROR(INDEX('스킬'!$F:$F,MATCH($B8,'스킬'!$B:$B,0)),"")</x:f>
        <x:v>0.4</x:v>
      </x:c>
      <x:c r="F8" s="23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">
        <x:v>96</x:v>
      </x:c>
      <x:c r="C9" s="27" t="str">
        <x:f aca="0">IFERROR(INDEX('스킬'!$C:$C,MATCH($B9,'스킬'!$B:$B,0)),"")</x:f>
        <x:v>딜/단일</x:v>
      </x:c>
      <x:c r="D9" s="23" t="n">
        <x:f aca="0">IFERROR(INDEX('스킬'!$D:$D,MATCH($B9,'스킬'!$B:$B,0)),"")</x:f>
        <x:v>6</x:v>
      </x:c>
      <x:c r="E9" s="22" t="n">
        <x:f aca="0">IFERROR(INDEX('스킬'!$F:$F,MATCH($B9,'스킬'!$B:$B,0)),"")</x:f>
        <x:v>1</x:v>
      </x:c>
      <x:c r="F9" s="23" t="n">
        <x:f aca="0">IFERROR(INDEX('스킬'!$J:$J,MATCH($B9,'스킬'!$B:$B,0)),"")</x:f>
        <x:v>150</x:v>
      </x:c>
      <x:c r="G9" s="27" t="str">
        <x:f aca="0">IF($A9&lt;=4,"손패","대기열")</x:f>
        <x:v>대기열</x:v>
      </x:c>
      <x:c r="H9" s="23" t="n">
        <x:f aca="0">SUM(D5:D5)</x:f>
        <x:v>3</x:v>
      </x:c>
      <x:c r="I9" s="22" t="n">
        <x:f aca="0">IFERROR(H9/'범례'!$C$23,"")</x:f>
        <x:v>3.75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">
        <x:v>99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5</x:v>
      </x:c>
      <x:c r="E10" s="22" t="n">
        <x:f aca="0">IFERROR(INDEX('스킬'!$F:$F,MATCH($B10,'스킬'!$B:$B,0)),"")</x:f>
        <x:v>0.8</x:v>
      </x:c>
      <x:c r="F10" s="23" t="n">
        <x:f aca="0">IFERROR(INDEX('스킬'!$J:$J,MATCH($B10,'스킬'!$B:$B,0)),"")</x:f>
        <x:v>110</x:v>
      </x:c>
      <x:c r="G10" s="27" t="str">
        <x:f aca="0">IF($A10&lt;=4,"손패","대기열")</x:f>
        <x:v>대기열</x:v>
      </x:c>
      <x:c r="H10" s="23" t="n">
        <x:f aca="0">SUM(D5:D6)</x:f>
        <x:v>7</x:v>
      </x:c>
      <x:c r="I10" s="22" t="n">
        <x:f aca="0">IFERROR(H10/'범례'!$C$23,"")</x:f>
        <x:v>8.75</x:v>
      </x:c>
      <x:c r="J10" s="22" t="n">
        <x:f aca="0">SUM(E5:E6)</x:f>
        <x:v>0.8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">
        <x:v>102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5</x:v>
      </x:c>
      <x:c r="E11" s="22" t="n">
        <x:f aca="0">IFERROR(INDEX('스킬'!$F:$F,MATCH($B11,'스킬'!$B:$B,0)),"")</x:f>
        <x:v>0.6</x:v>
      </x:c>
      <x:c r="F11" s="23" t="n">
        <x:f aca="0">IFERROR(INDEX('스킬'!$J:$J,MATCH($B11,'스킬'!$B:$B,0)),"")</x:f>
        <x:v>150</x:v>
      </x:c>
      <x:c r="G11" s="27" t="str">
        <x:f aca="0">IF($A11&lt;=4,"손패","대기열")</x:f>
        <x:v>대기열</x:v>
      </x:c>
      <x:c r="H11" s="23" t="n">
        <x:f aca="0">SUM(D5:D7)</x:f>
        <x:v>10</x:v>
      </x:c>
      <x:c r="I11" s="22" t="n">
        <x:f aca="0">IFERROR(H11/'범례'!$C$23,"")</x:f>
        <x:v>12.5</x:v>
      </x:c>
      <x:c r="J11" s="22" t="n">
        <x:f aca="0">SUM(E5:E7)</x:f>
        <x:v>1.2000000000000002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">
        <x:v>105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7</x:v>
      </x:c>
      <x:c r="E12" s="22" t="n">
        <x:f aca="0">IFERROR(INDEX('스킬'!$F:$F,MATCH($B12,'스킬'!$B:$B,0)),"")</x:f>
        <x:v>1.2</x:v>
      </x:c>
      <x:c r="F12" s="23" t="n">
        <x:f aca="0">IFERROR(INDEX('스킬'!$J:$J,MATCH($B12,'스킬'!$B:$B,0)),"")</x:f>
        <x:v>180</x:v>
      </x:c>
      <x:c r="G12" s="27" t="str">
        <x:f aca="0">IF($A12&lt;=4,"손패","대기열")</x:f>
        <x:v>대기열</x:v>
      </x:c>
      <x:c r="H12" s="23" t="n">
        <x:f aca="0">SUM(D5:D8)</x:f>
        <x:v>12</x:v>
      </x:c>
      <x:c r="I12" s="22" t="n">
        <x:f aca="0">IFERROR(H12/'범례'!$C$23,"")</x:f>
        <x:v>15</x:v>
      </x:c>
      <x:c r="J12" s="22" t="n">
        <x:f aca="0">SUM(E5:E8)</x:f>
        <x:v>1.6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137</x:v>
      </x:c>
    </x:row>
    <x:row r="16" ht="30" hidden="0" customHeight="1">
      <x:c r="A16" s="10" t="s">
        <x:v>138</x:v>
      </x:c>
      <x:c r="B16" s="23" t="n">
        <x:f aca="0">SUM(D5:D12)</x:f>
        <x:v>35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43.75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139</x:v>
      </x:c>
      <x:c r="B18" s="22" t="n">
        <x:f aca="0">SUM(E5:E12)</x:f>
        <x:v>5.2</x:v>
      </x:c>
      <x:c r="D18" s="40" t="s">
        <x:v>140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">
        <x:v>141</x:v>
      </x:c>
      <x:c r="B19" s="23" t="n">
        <x:f aca="0">SUM(F5:F12)</x:f>
        <x:v>810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회복량 기준 평균 피해/초</x:v>
      </x:c>
      <x:c r="B20" s="22" t="n">
        <x:f aca="0">IFERROR(B19/B17,"")</x:f>
        <x:v>18.514285714285716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142</x:v>
      </x:c>
      <x:c r="B21" s="19" t="n">
        <x:f aca="0">IFERROR('범례'!$C$27/B17,"")</x:f>
        <x:v>1.0285714285714285</x:v>
      </x:c>
      <x:c r="D21" s="38" t="s">
        <x:v>143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144</x:v>
      </x:c>
      <x:c r="B22" s="23" t="n">
        <x:f aca="0">COUNTIF(C5:C12,"차단")+COUNTIF(C5:C12,"방어")</x:f>
        <x:v>2</x:v>
      </x:c>
      <x:c r="D22" s="38" t="s">
        <x:v>145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146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화염탄→서리화살 입력 0/0.4초. 6번 카드 진입 0.4초, 잠금 종료 0.8초.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0이면 위 두 입력에 8.75초 충전 필요. 손패 진입과 사용 가능 시점을 구분.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147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148</x:v>
      </x:c>
    </x:row>
    <x:row r="2" ht="15" hidden="0">
      <x:c r="A2" s="21" t="s">
        <x:v>149</x:v>
      </x:c>
    </x:row>
    <x:row r="4" ht="15" hidden="0" customHeight="1">
      <x:c r="A4" s="8" t="s">
        <x:v>52</x:v>
      </x:c>
      <x:c r="B4" s="8" t="s">
        <x:v>150</x:v>
      </x:c>
      <x:c r="C4" s="16" t="s">
        <x:v>53</x:v>
      </x:c>
      <x:c r="D4" s="8" t="s">
        <x:v>68</x:v>
      </x:c>
      <x:c r="E4" s="8" t="s">
        <x:v>54</x:v>
      </x:c>
      <x:c r="F4" s="8" t="s">
        <x:v>151</x:v>
      </x:c>
      <x:c r="G4" s="8" t="s">
        <x:v>66</x:v>
      </x:c>
      <x:c r="H4" s="8" t="s">
        <x:v>152</x:v>
      </x:c>
      <x:c r="I4" s="37" t="str">
        <x:v>회복량 기준 참고 시간</x:v>
      </x:c>
      <x:c r="J4" s="8" t="s">
        <x:v>153</x:v>
      </x:c>
    </x:row>
    <x:row r="5" ht="15" hidden="0">
      <x:c r="A5" s="17" t="s">
        <x:v>154</x:v>
      </x:c>
      <x:c r="B5" s="17" t="s">
        <x:v>155</x:v>
      </x:c>
      <x:c r="C5" s="17" t="n">
        <x:v>300</x:v>
      </x:c>
      <x:c r="D5" s="17" t="n">
        <x:v>30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16.203703703703702</x:v>
      </x:c>
      <x:c r="J5" s="20" t="s">
        <x:v>156</x:v>
      </x:c>
    </x:row>
    <x:row r="6" ht="15" hidden="0">
      <x:c r="A6" s="17" t="s">
        <x:v>157</x:v>
      </x:c>
      <x:c r="B6" s="17" t="s">
        <x:v>158</x:v>
      </x:c>
      <x:c r="C6" s="17" t="n">
        <x:v>300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159</x:v>
      </x:c>
      <x:c r="I6" s="22" t="n">
        <x:f aca="0">IFERROR(C6/'덱시뮬'!$B$20,"")</x:f>
        <x:v>16.203703703703702</x:v>
      </x:c>
      <x:c r="J6" s="20" t="s">
        <x:v>160</x:v>
      </x:c>
    </x:row>
    <x:row r="7" ht="15" hidden="0">
      <x:c r="A7" s="17" t="s">
        <x:v>161</x:v>
      </x:c>
      <x:c r="B7" s="17" t="s">
        <x:v>162</x:v>
      </x:c>
      <x:c r="C7" s="17" t="n">
        <x:v>300</x:v>
      </x:c>
      <x:c r="D7" s="17" t="n">
        <x:v>150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163</x:v>
      </x:c>
      <x:c r="I7" s="22" t="n">
        <x:f aca="0">IFERROR(C7/'덱시뮬'!$B$20,"")</x:f>
        <x:v>16.203703703703702</x:v>
      </x:c>
      <x:c r="J7" s="20" t="s">
        <x:v>164</x:v>
      </x:c>
    </x:row>
    <x:row r="8" ht="15" hidden="0">
      <x:c r="A8" s="17"/>
      <x:c r="B8" s="17"/>
      <x:c r="C8" s="17"/>
      <x:c r="D8" s="17"/>
      <x:c r="E8" s="17"/>
      <x:c r="F8" s="13" t="str">
        <x:f aca="0">IF(NOT(ISNUMBER(E8)),"",E8/(E8+'범례'!$C$20))</x:f>
      </x:c>
      <x:c r="G8" s="17"/>
      <x:c r="H8" s="17"/>
      <x:c r="I8" s="22" t="str">
        <x:f aca="0">IF(NOT(ISNUMBER(C8)),"",C8/'덱시뮬'!$B$20)</x:f>
      </x:c>
      <x:c r="J8" s="20"/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">
        <x:v>165</x:v>
      </x:c>
    </x:row>
    <x:row r="14" ht="15" hidden="0">
      <x:c r="A14" s="2" t="s">
        <x:v>166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167</x:v>
      </x:c>
    </x:row>
    <x:row r="2" ht="15" hidden="0">
      <x:c r="A2" s="21" t="str">
        <x:v>5전투 예상 피해를 모두 입력해야 합계·여유 계산. 현재 포션 미구현; 향후 런 기획용.</x:v>
      </x:c>
    </x:row>
    <x:row r="4" ht="31.5" hidden="0" customHeight="1">
      <x:c r="A4" s="8" t="s">
        <x:v>168</x:v>
      </x:c>
      <x:c r="B4" s="8" t="s">
        <x:v>169</x:v>
      </x:c>
      <x:c r="C4" s="8" t="s">
        <x:v>170</x:v>
      </x:c>
      <x:c r="D4" s="8" t="s">
        <x:v>171</x:v>
      </x:c>
      <x:c r="E4" s="8" t="s">
        <x:v>172</x:v>
      </x:c>
      <x:c r="F4" s="8" t="s">
        <x:v>173</x:v>
      </x:c>
      <x:c r="G4" s="8" t="s">
        <x:v>174</x:v>
      </x:c>
      <x:c r="H4" s="8" t="s">
        <x:v>175</x:v>
      </x:c>
    </x:row>
    <x:row r="5" ht="15" hidden="0">
      <x:c r="A5" s="27" t="n">
        <x:v>1</x:v>
      </x:c>
      <x:c r="B5" s="20"/>
      <x:c r="C5" s="17"/>
      <x:c r="D5" s="17"/>
      <x:c r="E5" s="23" t="str">
        <x:f aca="0">IF(NOT(ISNUMBER(C5)),"",IF(A5=1,'직업'!$B$5-C5,E4-C5))</x:f>
      </x:c>
      <x:c r="F5" s="23" t="str">
        <x:f aca="0">IF(NOT(ISNUMBER(D5)),"",IF(A5=1,'직업'!$B$5-D5,F4-D5))</x:f>
      </x:c>
      <x:c r="G5" s="27" t="str">
        <x:f aca="0">IF(NOT(ISNUMBER(F5)),"",IF(F5&lt;=0,"사망",IF(F5&lt;100,"위험","안전")))</x:f>
      </x:c>
      <x:c r="H5" s="20"/>
    </x:row>
    <x:row r="6" ht="15" hidden="0">
      <x:c r="A6" s="27" t="n">
        <x:v>2</x:v>
      </x:c>
      <x:c r="B6" s="20"/>
      <x:c r="C6" s="17"/>
      <x:c r="D6" s="17"/>
      <x:c r="E6" s="23" t="str">
        <x:f aca="0">IF(NOT(ISNUMBER(C6)),"",IF(A6=1,'직업'!$B$5-C6,E5-C6))</x:f>
      </x:c>
      <x:c r="F6" s="23" t="str">
        <x:f aca="0">IF(NOT(ISNUMBER(D6)),"",IF(A6=1,'직업'!$B$5-D6,F5-D6))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3</x:v>
      </x:c>
      <x:c r="B7" s="20"/>
      <x:c r="C7" s="17"/>
      <x:c r="D7" s="17"/>
      <x:c r="E7" s="23" t="str">
        <x:f aca="0">IF(NOT(ISNUMBER(C7)),"",IF(A7=1,'직업'!$B$5-C7,E6-C7))</x:f>
      </x:c>
      <x:c r="F7" s="23" t="str">
        <x:f aca="0">IF(NOT(ISNUMBER(D7)),"",IF(A7=1,'직업'!$B$5-D7,F6-D7))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4</x:v>
      </x:c>
      <x:c r="B8" s="20"/>
      <x:c r="C8" s="17"/>
      <x:c r="D8" s="17"/>
      <x:c r="E8" s="23" t="str">
        <x:f aca="0">IF(NOT(ISNUMBER(C8)),"",IF(A8=1,'직업'!$B$5-C8,E7-C8))</x:f>
      </x:c>
      <x:c r="F8" s="23" t="str">
        <x:f aca="0">IF(NOT(ISNUMBER(D8)),"",IF(A8=1,'직업'!$B$5-D8,F7-D8))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5</x:v>
      </x:c>
      <x:c r="B9" s="20"/>
      <x:c r="C9" s="17"/>
      <x:c r="D9" s="17"/>
      <x:c r="E9" s="23" t="str">
        <x:f aca="0">IF(NOT(ISNUMBER(C9)),"",IF(A9=1,'직업'!$B$5-C9,E8-C9))</x:f>
      </x:c>
      <x:c r="F9" s="23" t="str">
        <x:f aca="0">IF(NOT(ISNUMBER(D9)),"",IF(A9=1,'직업'!$B$5-D9,F8-D9))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137</x:v>
      </x:c>
    </x:row>
    <x:row r="13" ht="30" hidden="0" customHeight="1">
      <x:c r="A13" s="10" t="s">
        <x:v>176</x:v>
      </x:c>
      <x:c r="B13" s="23" t="str">
        <x:f aca="0">IF(COUNT(C5:C9)&lt;5,"",SUM(C5:C9))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177</x:v>
      </x:c>
      <x:c r="B14" s="23" t="str">
        <x:f aca="0">IF(COUNT(D5:D9)&lt;5,"",SUM(D5:D9))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178</x:v>
      </x:c>
      <x:c r="B15" s="23" t="n">
        <x:f aca="0">IFERROR('직업'!$B$5*0.5*'범례'!$C$29,"")</x:f>
        <x:v>750</x:v>
      </x:c>
      <x:c r="D15" s="38" t="s">
        <x:v>179</x:v>
      </x:c>
      <x:c r="E15" s="39"/>
      <x:c r="F15" s="39"/>
      <x:c r="G15" s="39"/>
      <x:c r="H15" s="39"/>
    </x:row>
    <x:row r="16" ht="30" hidden="0" customHeight="1">
      <x:c r="A16" s="10" t="s">
        <x:v>180</x:v>
      </x:c>
      <x:c r="B16" s="23" t="n">
        <x:f aca="0">IFERROR('직업'!$B$5+B15,"")</x:f>
        <x:v>1250</x:v>
      </x:c>
      <x:c r="D16" s="38" t="str">
        <x:v>포션 초과 회복 손실이 없다는 이론 상한</x:v>
      </x:c>
      <x:c r="E16" s="39"/>
      <x:c r="F16" s="39"/>
      <x:c r="G16" s="39"/>
      <x:c r="H16" s="39"/>
    </x:row>
    <x:row r="17" ht="30" hidden="0" customHeight="1">
      <x:c r="A17" s="10" t="s">
        <x:v>181</x:v>
      </x:c>
      <x:c r="B17" s="23" t="str">
        <x:f aca="0">IF(NOT(ISNUMBER(B13)),"",B16-B13)</x:f>
      </x:c>
      <x:c r="D17" s="38" t="s">
        <x:v>182</x:v>
      </x:c>
      <x:c r="E17" s="39"/>
      <x:c r="F17" s="39"/>
      <x:c r="G17" s="39"/>
      <x:c r="H17" s="39"/>
    </x:row>
    <x:row r="18" ht="30" hidden="0" customHeight="1">
      <x:c r="A18" s="10" t="s">
        <x:v>183</x:v>
      </x:c>
      <x:c r="B18" s="23" t="str">
        <x:f aca="0">IF(NOT(ISNUMBER(B14)),"",B16-B14)</x:f>
      </x:c>
      <x:c r="D18" s="38" t="s">
        <x:v>184</x:v>
      </x:c>
      <x:c r="E18" s="39"/>
      <x:c r="F18" s="39"/>
      <x:c r="G18" s="39"/>
      <x:c r="H18" s="39"/>
    </x:row>
    <x:row r="19" ht="30" hidden="0" customHeight="1">
      <x:c r="A19" s="10" t="s">
        <x:v>185</x:v>
      </x:c>
      <x:c r="B19" s="23" t="str">
        <x:f aca="0">IF(OR(NOT(ISNUMBER(B13)),NOT(ISNUMBER(B14))),"",B14-B13)</x:f>
      </x:c>
      <x:c r="D19" s="38" t="s">
        <x:v>186</x:v>
      </x:c>
      <x:c r="E19" s="39"/>
      <x:c r="F19" s="39"/>
      <x:c r="G19" s="39"/>
      <x:c r="H19" s="39"/>
    </x:row>
    <x:row r="22" ht="15" hidden="0">
      <x:c r="A22" s="3" t="s">
        <x:v>187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188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189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190</x:v>
      </x:c>
    </x:row>
    <x:row r="2" ht="15" hidden="0">
      <x:c r="A2" s="21" t="s">
        <x:v>191</x:v>
      </x:c>
    </x:row>
    <x:row r="4" ht="31.5" hidden="0" customHeight="1">
      <x:c r="A4" s="8" t="s">
        <x:v>192</x:v>
      </x:c>
      <x:c r="B4" s="8" t="s">
        <x:v>169</x:v>
      </x:c>
      <x:c r="C4" s="8" t="s">
        <x:v>193</x:v>
      </x:c>
      <x:c r="D4" s="8" t="s">
        <x:v>194</x:v>
      </x:c>
      <x:c r="E4" s="8" t="s">
        <x:v>195</x:v>
      </x:c>
      <x:c r="F4" s="8" t="s">
        <x:v>196</x:v>
      </x:c>
      <x:c r="G4" s="8" t="s">
        <x:v>197</x:v>
      </x:c>
      <x:c r="H4" s="8" t="s">
        <x:v>198</x:v>
      </x:c>
    </x:row>
    <x:row r="5" ht="15" hidden="0">
      <x:c r="A5" s="29" t="n">
        <x:v>1</x:v>
      </x:c>
      <x:c r="B5" s="30" t="s">
        <x:v>199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200</x:v>
      </x:c>
      <x:c r="H5" s="33" t="s">
        <x:v>201</x:v>
      </x:c>
    </x:row>
    <x:row r="6" ht="15" hidden="0">
      <x:c r="A6" s="17"/>
      <x:c r="B6" s="20"/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/>
      <x:c r="B7" s="20"/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/>
      <x:c r="B8" s="20"/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/>
      <x:c r="B9" s="20"/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/>
      <x:c r="B10" s="20"/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202</x:v>
      </x:c>
      <x:c r="C14" s="27" t="n">
        <x:f aca="0">IFERROR(SUM(C6:C11),"")</x:f>
        <x:v>0</x:v>
      </x:c>
      <x:c r="E14" s="25" t="s">
        <x:v>203</x:v>
      </x:c>
    </x:row>
    <x:row r="15" ht="15" hidden="0">
      <x:c r="A15" s="3" t="s">
        <x:v>204</x:v>
      </x:c>
      <x:c r="C15" s="27" t="n">
        <x:f aca="0">IFERROR(SUM(D6:D11),"")</x:f>
        <x:v>0</x:v>
      </x:c>
    </x:row>
  </x:sheetData>
  <x:pageMargins left="0.7" right="0.7" top="0.75" bottom="0.75" header="0.3" footer="0.3"/>
</x:worksheet>
</file>