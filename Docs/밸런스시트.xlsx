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범례" sheetId="1" state="visible" r:id="rId3"/>
    <sheet name="직업" sheetId="2" state="visible" r:id="rId4"/>
    <sheet name="스킬" sheetId="3" state="visible" r:id="rId5"/>
    <sheet name="덱시뮬" sheetId="4" state="visible" r:id="rId6"/>
    <sheet name="적" sheetId="5" state="visible" r:id="rId7"/>
    <sheet name="HP예산" sheetId="6" state="visible" r:id="rId8"/>
    <sheet name="인카운터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<sst xmlns="http://schemas.openxmlformats.org/spreadsheetml/2006/main" count="211" uniqueCount="190">
  <si>
    <r>
      <rPr>
        <b val="true"/>
        <sz val="13"/>
        <rFont val="Arial"/>
        <family val="0"/>
        <charset val="1"/>
      </rPr>
      <t xml:space="preserve">Scroll Hunter — </t>
    </r>
    <r>
      <rPr>
        <b val="true"/>
        <sz val="13"/>
        <rFont val="Noto Sans CJK SC"/>
        <family val="2"/>
      </rPr>
      <t xml:space="preserve">밸런스 시트</t>
    </r>
  </si>
  <si>
    <r>
      <rPr>
        <i val="true"/>
        <sz val="9"/>
        <color rgb="FF808080"/>
        <rFont val="Noto Sans CJK SC"/>
        <family val="2"/>
      </rPr>
      <t xml:space="preserve">노란 칸만 입력하세요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검은 글자는 수식입니다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</si>
  <si>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색 규칙</t>
  </si>
  <si>
    <r>
      <rPr>
        <sz val="10"/>
        <color rgb="FF0000FF"/>
        <rFont val="Noto Sans CJK SC"/>
        <family val="2"/>
      </rPr>
      <t xml:space="preserve">노란 칸 </t>
    </r>
    <r>
      <rPr>
        <sz val="10"/>
        <color rgb="FF0000FF"/>
        <rFont val="Arial"/>
        <family val="0"/>
        <charset val="1"/>
      </rPr>
      <t xml:space="preserve">+ </t>
    </r>
    <r>
      <rPr>
        <sz val="10"/>
        <color rgb="FF0000FF"/>
        <rFont val="Noto Sans CJK SC"/>
        <family val="2"/>
      </rPr>
      <t xml:space="preserve">파란 글자</t>
    </r>
  </si>
  <si>
    <r>
      <rPr>
        <sz val="10"/>
        <rFont val="Noto Sans CJK SC"/>
        <family val="2"/>
      </rPr>
      <t xml:space="preserve">직접 입력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여기만 수정하세요</t>
    </r>
    <r>
      <rPr>
        <sz val="10"/>
        <rFont val="Arial"/>
        <family val="0"/>
        <charset val="1"/>
      </rPr>
      <t xml:space="preserve">.</t>
    </r>
  </si>
  <si>
    <t xml:space="preserve">검은 글자</t>
  </si>
  <si>
    <r>
      <rPr>
        <sz val="10"/>
        <rFont val="Noto Sans CJK SC"/>
        <family val="2"/>
      </rPr>
      <t xml:space="preserve">수식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건드리지 마세요</t>
    </r>
    <r>
      <rPr>
        <sz val="10"/>
        <rFont val="Arial"/>
        <family val="0"/>
        <charset val="1"/>
      </rPr>
      <t xml:space="preserve">.</t>
    </r>
  </si>
  <si>
    <t xml:space="preserve">회색 이탤릭 행</t>
  </si>
  <si>
    <r>
      <rPr>
        <sz val="10"/>
        <rFont val="Noto Sans CJK SC"/>
        <family val="2"/>
      </rPr>
      <t xml:space="preserve">형식 참고용 예시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채운 뒤 삭제하세요</t>
    </r>
    <r>
      <rPr>
        <sz val="10"/>
        <rFont val="Arial"/>
        <family val="0"/>
        <charset val="1"/>
      </rPr>
      <t xml:space="preserve">.</t>
    </r>
  </si>
  <si>
    <t xml:space="preserve">시트 구성</t>
  </si>
  <si>
    <t xml:space="preserve">직업</t>
  </si>
  <si>
    <r>
      <rPr>
        <sz val="10"/>
        <rFont val="Noto Sans CJK SC"/>
        <family val="2"/>
      </rPr>
      <t xml:space="preserve">구현 직업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종의 기본 스펙</t>
    </r>
  </si>
  <si>
    <t xml:space="preserve">스킬</t>
  </si>
  <si>
    <r>
      <rPr>
        <sz val="10"/>
        <rFont val="Noto Sans CJK SC"/>
        <family val="2"/>
      </rPr>
      <t xml:space="preserve">스킬 풀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종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코스트당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시간당 기대 피해가 자동 계산됨</t>
    </r>
  </si>
  <si>
    <t xml:space="preserve">덱시뮬</t>
  </si>
  <si>
    <r>
      <rPr>
        <sz val="10"/>
        <rFont val="Noto Sans CJK SC"/>
        <family val="2"/>
      </rPr>
      <t xml:space="preserve">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장 시뮬레이션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코스트 병목과 행동 잠금 병목을 모두 계산 ★</t>
    </r>
  </si>
  <si>
    <t xml:space="preserve">적</t>
  </si>
  <si>
    <r>
      <rPr>
        <sz val="10"/>
        <rFont val="Noto Sans CJK SC"/>
        <family val="2"/>
      </rPr>
      <t xml:space="preserve">적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종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보스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담당 색상별 스펙</t>
    </r>
  </si>
  <si>
    <t xml:space="preserve">인카운터</t>
  </si>
  <si>
    <r>
      <rPr>
        <sz val="10"/>
        <rFont val="Noto Sans CJK SC"/>
        <family val="2"/>
      </rPr>
      <t xml:space="preserve">전투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회의 목표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실측 시간 </t>
    </r>
    <r>
      <rPr>
        <sz val="10"/>
        <rFont val="Arial"/>
        <family val="0"/>
        <charset val="1"/>
      </rPr>
      <t xml:space="preserve">(18</t>
    </r>
    <r>
      <rPr>
        <sz val="10"/>
        <rFont val="Noto Sans CJK SC"/>
        <family val="2"/>
      </rPr>
      <t xml:space="preserve">일차 갱신</t>
    </r>
    <r>
      <rPr>
        <sz val="10"/>
        <rFont val="Arial"/>
        <family val="0"/>
        <charset val="1"/>
      </rPr>
      <t xml:space="preserve">)</t>
    </r>
  </si>
  <si>
    <t xml:space="preserve">공용 가정</t>
  </si>
  <si>
    <t xml:space="preserve">항목</t>
  </si>
  <si>
    <t xml:space="preserve">설명</t>
  </si>
  <si>
    <t xml:space="preserve">값</t>
  </si>
  <si>
    <r>
      <rPr>
        <b val="true"/>
        <sz val="10"/>
        <color rgb="FFFFFFFF"/>
        <rFont val="Noto Sans CJK SC"/>
        <family val="2"/>
      </rPr>
      <t xml:space="preserve">근거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Noto Sans CJK SC"/>
        <family val="2"/>
      </rPr>
      <t xml:space="preserve">출처</t>
    </r>
  </si>
  <si>
    <t xml:space="preserve">크리티컬 배율</t>
  </si>
  <si>
    <t xml:space="preserve">크리티컬 발생 시 피해 배수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</si>
  <si>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근거를 적으세요</t>
    </r>
    <r>
      <rPr>
        <sz val="10"/>
        <rFont val="Arial"/>
        <family val="0"/>
        <charset val="1"/>
      </rPr>
      <t xml:space="preserve">]</t>
    </r>
  </si>
  <si>
    <t xml:space="preserve">방어 상수</t>
  </si>
  <si>
    <r>
      <rPr>
        <sz val="10"/>
        <rFont val="Noto Sans CJK SC"/>
        <family val="2"/>
      </rPr>
      <t xml:space="preserve">방어감소율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방어력 </t>
    </r>
    <r>
      <rPr>
        <sz val="10"/>
        <rFont val="Arial"/>
        <family val="0"/>
        <charset val="1"/>
      </rPr>
      <t xml:space="preserve">/ (</t>
    </r>
    <r>
      <rPr>
        <sz val="10"/>
        <rFont val="Noto Sans CJK SC"/>
        <family val="2"/>
      </rPr>
      <t xml:space="preserve">방어력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상수</t>
    </r>
    <r>
      <rPr>
        <sz val="10"/>
        <rFont val="Arial"/>
        <family val="0"/>
        <charset val="1"/>
      </rPr>
      <t xml:space="preserve">)</t>
    </r>
  </si>
  <si>
    <t xml:space="preserve">기준 적 방어력</t>
  </si>
  <si>
    <t xml:space="preserve">스킬 기대 피해 계산 기준값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</si>
  <si>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잡몹 평균 등 근거</t>
    </r>
    <r>
      <rPr>
        <sz val="10"/>
        <rFont val="Arial"/>
        <family val="0"/>
        <charset val="1"/>
      </rPr>
      <t xml:space="preserve">]</t>
    </r>
  </si>
  <si>
    <t xml:space="preserve">기준 방어감소율</t>
  </si>
  <si>
    <t xml:space="preserve">위 두 값으로 자동 계산</t>
  </si>
  <si>
    <t xml:space="preserve">수식</t>
  </si>
  <si>
    <t xml:space="preserve">코스트 초당 회복량</t>
  </si>
  <si>
    <t xml:space="preserve">실시간 충전 속도</t>
  </si>
  <si>
    <t xml:space="preserve">코스트 상한</t>
  </si>
  <si>
    <t xml:space="preserve">초과분은 소멸</t>
  </si>
  <si>
    <t xml:space="preserve">전투 시작 코스트</t>
  </si>
  <si>
    <r>
      <rPr>
        <sz val="10"/>
        <rFont val="Noto Sans CJK SC"/>
        <family val="2"/>
      </rPr>
      <t xml:space="preserve">최소 </t>
    </r>
    <r>
      <rPr>
        <sz val="10"/>
        <rFont val="Arial"/>
        <family val="0"/>
        <charset val="1"/>
      </rPr>
      <t xml:space="preserve">GCD (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</si>
  <si>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행동 잠금 </t>
    </r>
    <r>
      <rPr>
        <sz val="10"/>
        <rFont val="Arial"/>
        <family val="0"/>
        <charset val="1"/>
      </rPr>
      <t xml:space="preserve">= MAX(</t>
    </r>
    <r>
      <rPr>
        <sz val="10"/>
        <rFont val="Noto Sans CJK SC"/>
        <family val="2"/>
      </rPr>
      <t xml:space="preserve">캐스팅 시간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이 값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</si>
  <si>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확정값 </t>
    </r>
    <r>
      <rPr>
        <sz val="10"/>
        <rFont val="Arial"/>
        <family val="0"/>
        <charset val="1"/>
      </rPr>
      <t xml:space="preserve">(10_</t>
    </r>
    <r>
      <rPr>
        <sz val="10"/>
        <rFont val="Noto Sans CJK SC"/>
        <family val="2"/>
      </rPr>
      <t xml:space="preserve">결정사항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로그 </t>
    </r>
    <r>
      <rPr>
        <sz val="10"/>
        <rFont val="Arial"/>
        <family val="0"/>
        <charset val="1"/>
      </rPr>
      <t xml:space="preserve">A1). </t>
    </r>
    <r>
      <rPr>
        <sz val="10"/>
        <rFont val="Noto Sans CJK SC"/>
        <family val="2"/>
      </rPr>
      <t xml:space="preserve">코스트가 꽉 찼을 때의 연타 속도를 제한</t>
    </r>
  </si>
  <si>
    <r>
      <rPr>
        <sz val="10"/>
        <rFont val="Noto Sans CJK SC"/>
        <family val="2"/>
      </rPr>
      <t xml:space="preserve">목표 전투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잡몹</t>
    </r>
    <r>
      <rPr>
        <sz val="10"/>
        <rFont val="Arial"/>
        <family val="0"/>
        <charset val="1"/>
      </rPr>
      <t xml:space="preserve">)</t>
    </r>
  </si>
  <si>
    <t xml:space="preserve">초</t>
  </si>
  <si>
    <r>
      <rPr>
        <sz val="10"/>
        <rFont val="Noto Sans CJK SC"/>
        <family val="2"/>
      </rPr>
      <t xml:space="preserve">목표 전투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보스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</si>
  <si>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포션 횟수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런 전체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</si>
  <si>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최대 </t>
    </r>
    <r>
      <rPr>
        <sz val="10"/>
        <rFont val="Arial"/>
        <family val="0"/>
        <charset val="1"/>
      </rPr>
      <t xml:space="preserve">HP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50%</t>
    </r>
    <r>
      <rPr>
        <sz val="10"/>
        <rFont val="Noto Sans CJK SC"/>
        <family val="2"/>
      </rPr>
      <t xml:space="preserve">씩 회복</t>
    </r>
  </si>
  <si>
    <r>
      <rPr>
        <sz val="10"/>
        <rFont val="Noto Sans CJK SC"/>
        <family val="2"/>
      </rPr>
      <t xml:space="preserve">확정값 </t>
    </r>
    <r>
      <rPr>
        <sz val="10"/>
        <rFont val="Arial"/>
        <family val="0"/>
        <charset val="1"/>
      </rPr>
      <t xml:space="preserve">(10_</t>
    </r>
    <r>
      <rPr>
        <sz val="10"/>
        <rFont val="Noto Sans CJK SC"/>
        <family val="2"/>
      </rPr>
      <t xml:space="preserve">결정사항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로그 </t>
    </r>
    <r>
      <rPr>
        <sz val="10"/>
        <rFont val="Arial"/>
        <family val="0"/>
        <charset val="1"/>
      </rPr>
      <t xml:space="preserve">A8)</t>
    </r>
  </si>
  <si>
    <r>
      <rPr>
        <b val="true"/>
        <sz val="10"/>
        <color rgb="FFC00000"/>
        <rFont val="Noto Sans CJK SC"/>
        <family val="2"/>
      </rPr>
      <t xml:space="preserve">주의</t>
    </r>
    <r>
      <rPr>
        <b val="true"/>
        <sz val="10"/>
        <color rgb="FFC00000"/>
        <rFont val="Arial"/>
        <family val="0"/>
        <charset val="1"/>
      </rPr>
      <t xml:space="preserve">: </t>
    </r>
    <r>
      <rPr>
        <b val="true"/>
        <sz val="10"/>
        <color rgb="FFC00000"/>
        <rFont val="Noto Sans CJK SC"/>
        <family val="2"/>
      </rPr>
      <t xml:space="preserve">기획 문서</t>
    </r>
    <r>
      <rPr>
        <b val="true"/>
        <sz val="10"/>
        <color rgb="FFC00000"/>
        <rFont val="Arial"/>
        <family val="0"/>
        <charset val="1"/>
      </rPr>
      <t xml:space="preserve">(02~04)</t>
    </r>
    <r>
      <rPr>
        <b val="true"/>
        <sz val="10"/>
        <color rgb="FFC00000"/>
        <rFont val="Noto Sans CJK SC"/>
        <family val="2"/>
      </rPr>
      <t xml:space="preserve">의 수치는 이 파일과 반드시 일치시키세요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이 파일이 원본입니다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</si>
  <si>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0"/>
        <color rgb="FFC00000"/>
        <rFont val="Noto Sans CJK SC"/>
        <family val="2"/>
      </rPr>
      <t xml:space="preserve">사양을 변경하면 해당 기획서의 「변경 이력」 표에도 반드시 기록하세요</t>
    </r>
    <r>
      <rPr>
        <b val="true"/>
        <sz val="10"/>
        <color rgb="FFC00000"/>
        <rFont val="Arial"/>
        <family val="0"/>
        <charset val="1"/>
      </rPr>
      <t xml:space="preserve">. (P0 </t>
    </r>
    <r>
      <rPr>
        <b val="true"/>
        <sz val="10"/>
        <color rgb="FFC00000"/>
        <rFont val="Noto Sans CJK SC"/>
        <family val="2"/>
      </rPr>
      <t xml:space="preserve">대응</t>
    </r>
    <r>
      <rPr>
        <b val="true"/>
        <sz val="10"/>
        <color rgb="FFC00000"/>
        <rFont val="Arial"/>
        <family val="0"/>
        <charset val="1"/>
      </rPr>
      <t xml:space="preserve">)</t>
    </r>
  </si>
  <si>
    <t xml:space="preserve">직업 스펙</t>
  </si>
  <si>
    <r>
      <rPr>
        <i val="true"/>
        <sz val="9"/>
        <color rgb="FF808080"/>
        <rFont val="Noto Sans CJK SC"/>
        <family val="2"/>
      </rPr>
      <t xml:space="preserve">구현 직업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종</t>
    </r>
    <r>
      <rPr>
        <i val="true"/>
        <sz val="9"/>
        <color rgb="FF808080"/>
        <rFont val="Arial"/>
        <family val="0"/>
        <charset val="1"/>
      </rPr>
      <t xml:space="preserve">. F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기대 크리 배율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은 자동 계산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</si>
  <si>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이름</t>
  </si>
  <si>
    <t xml:space="preserve">HP</t>
  </si>
  <si>
    <t xml:space="preserve">공격력</t>
  </si>
  <si>
    <t xml:space="preserve">방어력</t>
  </si>
  <si>
    <t xml:space="preserve">크리티컬률</t>
  </si>
  <si>
    <t xml:space="preserve">기대 크리 배율</t>
  </si>
  <si>
    <t xml:space="preserve">설계 메모</t>
  </si>
  <si>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예시</t>
    </r>
    <r>
      <rPr>
        <i val="true"/>
        <sz val="9"/>
        <color rgb="FF808080"/>
        <rFont val="Arial"/>
        <family val="0"/>
        <charset val="1"/>
      </rPr>
      <t xml:space="preserve">) </t>
    </r>
    <r>
      <rPr>
        <i val="true"/>
        <sz val="9"/>
        <color rgb="FF808080"/>
        <rFont val="Noto Sans CJK SC"/>
        <family val="2"/>
      </rPr>
      <t xml:space="preserve">마법사</t>
    </r>
  </si>
  <si>
    <r>
      <rPr>
        <i val="true"/>
        <sz val="9"/>
        <color rgb="FF808080"/>
        <rFont val="Noto Sans CJK SC"/>
        <family val="2"/>
      </rPr>
      <t xml:space="preserve">코스트 자원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캐스팅기가 강한 대신 그동안 무방비</t>
    </r>
  </si>
  <si>
    <r>
      <rPr>
        <b val="true"/>
        <sz val="13"/>
        <rFont val="Noto Sans CJK SC"/>
        <family val="2"/>
      </rPr>
      <t xml:space="preserve">스킬 풀 밸런스 </t>
    </r>
    <r>
      <rPr>
        <b val="true"/>
        <sz val="13"/>
        <rFont val="Arial"/>
        <family val="0"/>
        <charset val="1"/>
      </rPr>
      <t xml:space="preserve">(14</t>
    </r>
    <r>
      <rPr>
        <b val="true"/>
        <sz val="13"/>
        <rFont val="Noto Sans CJK SC"/>
        <family val="2"/>
      </rPr>
      <t xml:space="preserve">종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</si>
  <si>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F·I~L</t>
    </r>
    <r>
      <rPr>
        <i val="true"/>
        <sz val="9"/>
        <color rgb="FF808080"/>
        <rFont val="Noto Sans CJK SC"/>
        <family val="2"/>
      </rPr>
      <t xml:space="preserve">열 자동 계산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코스트당</t>
    </r>
    <r>
      <rPr>
        <i val="true"/>
        <sz val="9"/>
        <color rgb="FF808080"/>
        <rFont val="Arial"/>
        <family val="0"/>
        <charset val="1"/>
      </rPr>
      <t xml:space="preserve">(K)</t>
    </r>
    <r>
      <rPr>
        <i val="true"/>
        <sz val="9"/>
        <color rgb="FF808080"/>
        <rFont val="Noto Sans CJK SC"/>
        <family val="2"/>
      </rPr>
      <t xml:space="preserve">과 시간당</t>
    </r>
    <r>
      <rPr>
        <i val="true"/>
        <sz val="9"/>
        <color rgb="FF808080"/>
        <rFont val="Arial"/>
        <family val="0"/>
        <charset val="1"/>
      </rPr>
      <t xml:space="preserve">(L) </t>
    </r>
    <r>
      <rPr>
        <i val="true"/>
        <sz val="9"/>
        <color rgb="FF808080"/>
        <rFont val="Noto Sans CJK SC"/>
        <family val="2"/>
      </rPr>
      <t xml:space="preserve">기대 피해가 둘 다 고르게 나와야 진짜 균형입니다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</si>
  <si>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ID</t>
  </si>
  <si>
    <t xml:space="preserve">스킬명</t>
  </si>
  <si>
    <t xml:space="preserve">분류</t>
  </si>
  <si>
    <t xml:space="preserve">코스트</t>
  </si>
  <si>
    <r>
      <rPr>
        <b val="true"/>
        <sz val="10"/>
        <color rgb="FFFFFFFF"/>
        <rFont val="Noto Sans CJK SC"/>
        <family val="2"/>
      </rPr>
      <t xml:space="preserve">캐스팅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</si>
  <si>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잠금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</si>
  <si>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계수</t>
  </si>
  <si>
    <t xml:space="preserve">타수</t>
  </si>
  <si>
    <t xml:space="preserve">총 계수</t>
  </si>
  <si>
    <t xml:space="preserve">기대 피해</t>
  </si>
  <si>
    <t xml:space="preserve">코스트당 기대 피해</t>
  </si>
  <si>
    <t xml:space="preserve">시간당 기대 피해</t>
  </si>
  <si>
    <t xml:space="preserve">방어도 부여</t>
  </si>
  <si>
    <r>
      <rPr>
        <b val="true"/>
        <sz val="10"/>
        <color rgb="FFFFFFFF"/>
        <rFont val="Noto Sans CJK SC"/>
        <family val="2"/>
      </rPr>
      <t xml:space="preserve">경직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</si>
  <si>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설계 의도</t>
  </si>
  <si>
    <r>
      <rPr>
        <b val="true"/>
        <sz val="10"/>
        <color rgb="FFFFFFFF"/>
        <rFont val="Noto Sans CJK SC"/>
        <family val="2"/>
      </rPr>
      <t xml:space="preserve">검증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코스트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</si>
  <si>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검증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시간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</si>
  <si>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SK01</t>
  </si>
  <si>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예시</t>
    </r>
    <r>
      <rPr>
        <i val="true"/>
        <sz val="9"/>
        <color rgb="FF808080"/>
        <rFont val="Arial"/>
        <family val="0"/>
        <charset val="1"/>
      </rPr>
      <t xml:space="preserve">) </t>
    </r>
    <r>
      <rPr>
        <i val="true"/>
        <sz val="9"/>
        <color rgb="FF808080"/>
        <rFont val="Noto Sans CJK SC"/>
        <family val="2"/>
      </rPr>
      <t xml:space="preserve">불기둥</t>
    </r>
  </si>
  <si>
    <r>
      <rPr>
        <i val="true"/>
        <sz val="9"/>
        <color rgb="FF808080"/>
        <rFont val="Noto Sans CJK SC"/>
        <family val="2"/>
      </rPr>
      <t xml:space="preserve">딜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Noto Sans CJK SC"/>
        <family val="2"/>
      </rPr>
      <t xml:space="preserve">광역</t>
    </r>
  </si>
  <si>
    <r>
      <rPr>
        <i val="true"/>
        <sz val="9"/>
        <color rgb="FF808080"/>
        <rFont val="Noto Sans CJK SC"/>
        <family val="2"/>
      </rPr>
      <t xml:space="preserve">싸고 강하지만 </t>
    </r>
    <r>
      <rPr>
        <i val="true"/>
        <sz val="9"/>
        <color rgb="FF808080"/>
        <rFont val="Arial"/>
        <family val="0"/>
        <charset val="1"/>
      </rPr>
      <t xml:space="preserve">1.2</t>
    </r>
    <r>
      <rPr>
        <i val="true"/>
        <sz val="9"/>
        <color rgb="FF808080"/>
        <rFont val="Noto Sans CJK SC"/>
        <family val="2"/>
      </rPr>
      <t xml:space="preserve">초 동안 무방비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 캐스팅을 먼저 읽어야 쓸 수 있다</t>
    </r>
  </si>
  <si>
    <r>
      <rPr>
        <b val="true"/>
        <sz val="10"/>
        <rFont val="Noto Sans CJK SC"/>
        <family val="2"/>
      </rPr>
      <t xml:space="preserve">밸런스 검증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딜 카드만 집계</t>
    </r>
    <r>
      <rPr>
        <b val="true"/>
        <sz val="10"/>
        <rFont val="Arial"/>
        <family val="0"/>
        <charset val="1"/>
      </rPr>
      <t xml:space="preserve">)</t>
    </r>
  </si>
  <si>
    <t xml:space="preserve">코스트당 최대</t>
  </si>
  <si>
    <r>
      <rPr>
        <i val="true"/>
        <sz val="9"/>
        <color rgb="FF808080"/>
        <rFont val="Noto Sans CJK SC"/>
        <family val="2"/>
      </rPr>
      <t xml:space="preserve">차단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Noto Sans CJK SC"/>
        <family val="2"/>
      </rPr>
      <t xml:space="preserve">방어 카드는 제외됨</t>
    </r>
  </si>
  <si>
    <t xml:space="preserve">코스트당 최소</t>
  </si>
  <si>
    <t xml:space="preserve">코스트당 비율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</si>
  <si>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1.30 </t>
    </r>
    <r>
      <rPr>
        <i val="true"/>
        <sz val="9"/>
        <color rgb="FF808080"/>
        <rFont val="Noto Sans CJK SC"/>
        <family val="2"/>
      </rPr>
      <t xml:space="preserve">이하</t>
    </r>
  </si>
  <si>
    <t xml:space="preserve">시간당 최대</t>
  </si>
  <si>
    <t xml:space="preserve">잠금 시간 대비 효율</t>
  </si>
  <si>
    <t xml:space="preserve">시간당 최소</t>
  </si>
  <si>
    <t xml:space="preserve">시간당 비율</t>
  </si>
  <si>
    <t xml:space="preserve">딜 카드 장수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</si>
  <si>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8</t>
    </r>
  </si>
  <si>
    <t xml:space="preserve">차단 카드 장수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</si>
  <si>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3</t>
    </r>
  </si>
  <si>
    <t xml:space="preserve">방어 카드 장수</t>
  </si>
  <si>
    <r>
      <rPr>
        <b val="true"/>
        <sz val="10"/>
        <color rgb="FFC00000"/>
        <rFont val="Noto Sans CJK SC"/>
        <family val="2"/>
      </rPr>
      <t xml:space="preserve">두 비율이 모두 </t>
    </r>
    <r>
      <rPr>
        <b val="true"/>
        <sz val="10"/>
        <color rgb="FFC00000"/>
        <rFont val="Arial"/>
        <family val="0"/>
        <charset val="1"/>
      </rPr>
      <t xml:space="preserve">1.3 </t>
    </r>
    <r>
      <rPr>
        <b val="true"/>
        <sz val="10"/>
        <color rgb="FFC00000"/>
        <rFont val="Noto Sans CJK SC"/>
        <family val="2"/>
      </rPr>
      <t xml:space="preserve">이하여야 합니다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한쪽만 맞추면 무조건 채용되는 카드가 생깁니다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</si>
  <si>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0"/>
        <color rgb="FFC00000"/>
        <rFont val="Noto Sans CJK SC"/>
        <family val="2"/>
      </rPr>
      <t xml:space="preserve">함정</t>
    </r>
    <r>
      <rPr>
        <b val="true"/>
        <sz val="10"/>
        <color rgb="FFC00000"/>
        <rFont val="Arial"/>
        <family val="0"/>
        <charset val="1"/>
      </rPr>
      <t xml:space="preserve">: </t>
    </r>
    <r>
      <rPr>
        <b val="true"/>
        <sz val="10"/>
        <color rgb="FFC00000"/>
        <rFont val="Noto Sans CJK SC"/>
        <family val="2"/>
      </rPr>
      <t xml:space="preserve">차단</t>
    </r>
    <r>
      <rPr>
        <b val="true"/>
        <sz val="10"/>
        <color rgb="FFC00000"/>
        <rFont val="Arial"/>
        <family val="0"/>
        <charset val="1"/>
      </rPr>
      <t xml:space="preserve">·</t>
    </r>
    <r>
      <rPr>
        <b val="true"/>
        <sz val="10"/>
        <color rgb="FFC00000"/>
        <rFont val="Noto Sans CJK SC"/>
        <family val="2"/>
      </rPr>
      <t xml:space="preserve">방어 카드에 딜을 붙이면 트레이드오프가 사라집니다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대응 카드는 딜을 포기하는 대가여야 합니다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</si>
  <si>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덱 </t>
    </r>
    <r>
      <rPr>
        <b val="true"/>
        <sz val="13"/>
        <rFont val="Arial"/>
        <family val="0"/>
        <charset val="1"/>
      </rPr>
      <t xml:space="preserve">8</t>
    </r>
    <r>
      <rPr>
        <b val="true"/>
        <sz val="13"/>
        <rFont val="Noto Sans CJK SC"/>
        <family val="2"/>
      </rPr>
      <t xml:space="preserve">장 구성 시뮬레이션</t>
    </r>
  </si>
  <si>
    <r>
      <rPr>
        <i val="true"/>
        <sz val="9"/>
        <color rgb="FF808080"/>
        <rFont val="Arial"/>
        <family val="0"/>
        <charset val="1"/>
      </rPr>
      <t xml:space="preserve">B</t>
    </r>
    <r>
      <rPr>
        <i val="true"/>
        <sz val="9"/>
        <color rgb="FF808080"/>
        <rFont val="Noto Sans CJK SC"/>
        <family val="2"/>
      </rPr>
      <t xml:space="preserve">열에 스킬명만 입력하면 나머지는 자동 계산됩니다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스킬 시트의 스킬명과 정확히 일치해야 합니다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</si>
  <si>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슬롯</t>
  </si>
  <si>
    <t xml:space="preserve">위치</t>
  </si>
  <si>
    <t xml:space="preserve">손에 넣기까지 필요 코스트</t>
  </si>
  <si>
    <r>
      <rPr>
        <b val="true"/>
        <sz val="10"/>
        <color rgb="FFFFFFFF"/>
        <rFont val="Noto Sans CJK SC"/>
        <family val="2"/>
      </rPr>
      <t xml:space="preserve">코스트 병목 대기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</si>
  <si>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잠금 병목 대기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</si>
  <si>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대응카드 코스트기준</t>
  </si>
  <si>
    <t xml:space="preserve">대응카드 잠금기준</t>
  </si>
  <si>
    <t xml:space="preserve">검증</t>
  </si>
  <si>
    <t xml:space="preserve">덱 총 코스트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</si>
  <si>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사이클 최소 소요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</si>
  <si>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목표 전투 시간의 </t>
    </r>
    <r>
      <rPr>
        <i val="true"/>
        <sz val="9"/>
        <color rgb="FF808080"/>
        <rFont val="Arial"/>
        <family val="0"/>
        <charset val="1"/>
      </rPr>
      <t xml:space="preserve">0.8~1.2</t>
    </r>
    <r>
      <rPr>
        <i val="true"/>
        <sz val="9"/>
        <color rgb="FF808080"/>
        <rFont val="Noto Sans CJK SC"/>
        <family val="2"/>
      </rPr>
      <t xml:space="preserve">배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짧으면 덱 구성의 의미가 약해집니다</t>
    </r>
  </si>
  <si>
    <r>
      <rPr>
        <sz val="10"/>
        <rFont val="Noto Sans CJK SC"/>
        <family val="2"/>
      </rPr>
      <t xml:space="preserve">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사이클 총 잠금 시간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초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</si>
  <si>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사이클 시간보다 크면 코스트가 아니라 잠금이 병목입니다</t>
    </r>
  </si>
  <si>
    <r>
      <rPr>
        <sz val="10"/>
        <rFont val="Noto Sans CJK SC"/>
        <family val="2"/>
      </rPr>
      <t xml:space="preserve">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사이클 총 기대 피해</t>
    </r>
  </si>
  <si>
    <t xml:space="preserve">초당 기대 피해</t>
  </si>
  <si>
    <t xml:space="preserve">적 예상 처치 시간 계산에 사용됨</t>
  </si>
  <si>
    <t xml:space="preserve">목표 전투 시간 대비 사이클 수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</si>
  <si>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1.0~1.5</t>
    </r>
    <r>
      <rPr>
        <i val="true"/>
        <sz val="9"/>
        <color rgb="FF808080"/>
        <rFont val="Noto Sans CJK SC"/>
        <family val="2"/>
      </rPr>
      <t xml:space="preserve">회</t>
    </r>
  </si>
  <si>
    <r>
      <rPr>
        <sz val="10"/>
        <rFont val="Noto Sans CJK SC"/>
        <family val="2"/>
      </rPr>
      <t xml:space="preserve">대응 카드 장수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차단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방어</t>
    </r>
    <r>
      <rPr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</si>
  <si>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권장 </t>
    </r>
    <r>
      <rPr>
        <i val="true"/>
        <sz val="9"/>
        <color rgb="FF808080"/>
        <rFont val="Arial"/>
        <family val="0"/>
        <charset val="1"/>
      </rPr>
      <t xml:space="preserve">2~3</t>
    </r>
    <r>
      <rPr>
        <i val="true"/>
        <sz val="9"/>
        <color rgb="FF808080"/>
        <rFont val="Noto Sans CJK SC"/>
        <family val="2"/>
      </rPr>
      <t xml:space="preserve">장</t>
    </r>
  </si>
  <si>
    <r>
      <rPr>
        <sz val="10"/>
        <rFont val="Noto Sans CJK SC"/>
        <family val="2"/>
      </rPr>
      <t xml:space="preserve">대응 카드 최악 대기 — 코스트 </t>
    </r>
    <r>
      <rPr>
        <sz val="10"/>
        <rFont val="Arial"/>
        <family val="0"/>
        <charset val="1"/>
      </rPr>
      <t xml:space="preserve">0</t>
    </r>
  </si>
  <si>
    <r>
      <rPr>
        <i val="true"/>
        <sz val="9"/>
        <color rgb="FF808080"/>
        <rFont val="Noto Sans CJK SC"/>
        <family val="2"/>
      </rPr>
      <t xml:space="preserve">코스트가 비어 있을 때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적의 최장 캐스팅보다 길면 대응 불가</t>
    </r>
  </si>
  <si>
    <t xml:space="preserve">대응 카드 최소 대기 — 코스트 충분</t>
  </si>
  <si>
    <r>
      <rPr>
        <i val="true"/>
        <sz val="9"/>
        <color rgb="FF808080"/>
        <rFont val="Noto Sans CJK SC"/>
        <family val="2"/>
      </rPr>
      <t xml:space="preserve">코스트를 모아뒀을 때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이 값이 코스트를 아낄 이유를 만듭니다</t>
    </r>
  </si>
  <si>
    <t xml:space="preserve">이 시트의 목적</t>
  </si>
  <si>
    <r>
      <rPr>
        <i val="true"/>
        <sz val="9"/>
        <color rgb="FF808080"/>
        <rFont val="Noto Sans CJK SC"/>
        <family val="2"/>
      </rPr>
      <t xml:space="preserve">결정론적 순환이므로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특정 카드를 손에 넣기까지 필요한 비용을 정확히 계산할 수 있습니다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</si>
  <si>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비용은 두 가지입니다</t>
    </r>
    <r>
      <rPr>
        <i val="true"/>
        <sz val="9"/>
        <color rgb="FF808080"/>
        <rFont val="Arial"/>
        <family val="0"/>
        <charset val="1"/>
      </rPr>
      <t xml:space="preserve">. ① </t>
    </r>
    <r>
      <rPr>
        <i val="true"/>
        <sz val="9"/>
        <color rgb="FF808080"/>
        <rFont val="Noto Sans CJK SC"/>
        <family val="2"/>
      </rPr>
      <t xml:space="preserve">앞 카드들의 코스트 합 ② 앞 카드들의 행동 잠금 시간 합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</si>
  <si>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코스트가 비어 있으면 ①이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코스트를 모아뒀으면 ②가 병목이 됩니다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실제 대기 시간은 둘 중 큰 쪽입니다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</si>
  <si>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예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차단 카드가 </t>
    </r>
    <r>
      <rPr>
        <i val="true"/>
        <sz val="9"/>
        <color rgb="FF808080"/>
        <rFont val="Arial"/>
        <family val="0"/>
        <charset val="1"/>
      </rPr>
      <t xml:space="preserve">6</t>
    </r>
    <r>
      <rPr>
        <i val="true"/>
        <sz val="9"/>
        <color rgb="FF808080"/>
        <rFont val="Noto Sans CJK SC"/>
        <family val="2"/>
      </rPr>
      <t xml:space="preserve">번 슬롯이면 앞 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장을 써야 손에 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코스트 </t>
    </r>
    <r>
      <rPr>
        <i val="true"/>
        <sz val="9"/>
        <color rgb="FF808080"/>
        <rFont val="Arial"/>
        <family val="0"/>
        <charset val="1"/>
      </rPr>
      <t xml:space="preserve">0</t>
    </r>
    <r>
      <rPr>
        <i val="true"/>
        <sz val="9"/>
        <color rgb="FF808080"/>
        <rFont val="Noto Sans CJK SC"/>
        <family val="2"/>
      </rPr>
      <t xml:space="preserve">이면 </t>
    </r>
    <r>
      <rPr>
        <i val="true"/>
        <sz val="9"/>
        <color rgb="FF808080"/>
        <rFont val="Arial"/>
        <family val="0"/>
        <charset val="1"/>
      </rPr>
      <t xml:space="preserve">8.75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코스트가 꽉 찼으면 </t>
    </r>
    <r>
      <rPr>
        <i val="true"/>
        <sz val="9"/>
        <color rgb="FF808080"/>
        <rFont val="Arial"/>
        <family val="0"/>
        <charset val="1"/>
      </rPr>
      <t xml:space="preserve">0.8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</si>
  <si>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이 폭이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코스트를 미리 모아둘 이유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를 만듭니다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아껴둔 코스트가 위기 대응 속도로 환산됩니다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</si>
  <si>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Noto Sans CJK SC"/>
        <family val="2"/>
      </rPr>
      <t xml:space="preserve">앞쪽에 캐스팅 긴 카드를 몰아두면 코스트가 넘쳐도 못 끌어옵니다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덱 순서 자체가 설계 결정입니다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</si>
  <si>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적 스펙</t>
  </si>
  <si>
    <r>
      <rPr>
        <i val="true"/>
        <sz val="9"/>
        <color rgb="FF808080"/>
        <rFont val="Arial"/>
        <family val="0"/>
        <charset val="1"/>
      </rPr>
      <t xml:space="preserve">F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방어감소율</t>
    </r>
    <r>
      <rPr>
        <i val="true"/>
        <sz val="9"/>
        <color rgb="FF808080"/>
        <rFont val="Arial"/>
        <family val="0"/>
        <charset val="1"/>
      </rPr>
      <t xml:space="preserve">), I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예상 처치 시간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은 자동 계산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</si>
  <si>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담당 색상</t>
  </si>
  <si>
    <t xml:space="preserve">방어감소율</t>
  </si>
  <si>
    <t xml:space="preserve">차단 가능</t>
  </si>
  <si>
    <r>
      <rPr>
        <b val="true"/>
        <sz val="10"/>
        <color rgb="FFFFFFFF"/>
        <rFont val="Noto Sans CJK SC"/>
        <family val="2"/>
      </rPr>
      <t xml:space="preserve">예상 처치 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</si>
  <si>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교육 의도</t>
  </si>
  <si>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예시</t>
    </r>
    <r>
      <rPr>
        <i val="true"/>
        <sz val="9"/>
        <color rgb="FF808080"/>
        <rFont val="Arial"/>
        <family val="0"/>
        <charset val="1"/>
      </rPr>
      <t xml:space="preserve">) </t>
    </r>
    <r>
      <rPr>
        <i val="true"/>
        <sz val="9"/>
        <color rgb="FF808080"/>
        <rFont val="Noto Sans CJK SC"/>
        <family val="2"/>
      </rPr>
      <t xml:space="preserve">주문사제</t>
    </r>
  </si>
  <si>
    <t xml:space="preserve">주황</t>
  </si>
  <si>
    <t xml:space="preserve">가능</t>
  </si>
  <si>
    <t xml:space="preserve">차단 카드의 존재와 사용 타이밍을 가르침</t>
  </si>
  <si>
    <r>
      <rPr>
        <i val="true"/>
        <sz val="9"/>
        <color rgb="FF808080"/>
        <rFont val="Noto Sans CJK SC"/>
        <family val="2"/>
      </rPr>
      <t xml:space="preserve">담당 색상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초록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Noto Sans CJK SC"/>
        <family val="2"/>
      </rPr>
      <t xml:space="preserve">대응 불필요 </t>
    </r>
    <r>
      <rPr>
        <i val="true"/>
        <sz val="9"/>
        <color rgb="FF808080"/>
        <rFont val="Arial"/>
        <family val="0"/>
        <charset val="1"/>
      </rPr>
      <t xml:space="preserve">/ </t>
    </r>
    <r>
      <rPr>
        <i val="true"/>
        <sz val="9"/>
        <color rgb="FF808080"/>
        <rFont val="Noto Sans CJK SC"/>
        <family val="2"/>
      </rPr>
      <t xml:space="preserve">주황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Noto Sans CJK SC"/>
        <family val="2"/>
      </rPr>
      <t xml:space="preserve">차단 대상 </t>
    </r>
    <r>
      <rPr>
        <i val="true"/>
        <sz val="9"/>
        <color rgb="FF808080"/>
        <rFont val="Arial"/>
        <family val="0"/>
        <charset val="1"/>
      </rPr>
      <t xml:space="preserve">/ </t>
    </r>
    <r>
      <rPr>
        <i val="true"/>
        <sz val="9"/>
        <color rgb="FF808080"/>
        <rFont val="Noto Sans CJK SC"/>
        <family val="2"/>
      </rPr>
      <t xml:space="preserve">빨강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Noto Sans CJK SC"/>
        <family val="2"/>
      </rPr>
      <t xml:space="preserve">방어도 대상</t>
    </r>
  </si>
  <si>
    <r>
      <rPr>
        <b val="true"/>
        <sz val="10"/>
        <color rgb="FFC00000"/>
        <rFont val="Noto Sans CJK SC"/>
        <family val="2"/>
      </rPr>
      <t xml:space="preserve">적의 캐스팅 시간을 덱시뮬의 </t>
    </r>
    <r>
      <rPr>
        <b val="true"/>
        <sz val="10"/>
        <color rgb="FFC00000"/>
        <rFont val="Arial"/>
        <family val="0"/>
        <charset val="1"/>
      </rPr>
      <t xml:space="preserve">'</t>
    </r>
    <r>
      <rPr>
        <b val="true"/>
        <sz val="10"/>
        <color rgb="FFC00000"/>
        <rFont val="Noto Sans CJK SC"/>
        <family val="2"/>
      </rPr>
      <t xml:space="preserve">대응 카드 최악 대기</t>
    </r>
    <r>
      <rPr>
        <b val="true"/>
        <sz val="10"/>
        <color rgb="FFC00000"/>
        <rFont val="Arial"/>
        <family val="0"/>
        <charset val="1"/>
      </rPr>
      <t xml:space="preserve">'</t>
    </r>
    <r>
      <rPr>
        <b val="true"/>
        <sz val="10"/>
        <color rgb="FFC00000"/>
        <rFont val="Noto Sans CJK SC"/>
        <family val="2"/>
      </rPr>
      <t xml:space="preserve">와 비교하세요</t>
    </r>
    <r>
      <rPr>
        <b val="true"/>
        <sz val="10"/>
        <color rgb="FFC00000"/>
        <rFont val="Arial"/>
        <family val="0"/>
        <charset val="1"/>
      </rPr>
      <t xml:space="preserve">. </t>
    </r>
    <r>
      <rPr>
        <b val="true"/>
        <sz val="10"/>
        <color rgb="FFC00000"/>
        <rFont val="Noto Sans CJK SC"/>
        <family val="2"/>
      </rPr>
      <t xml:space="preserve">대기가 더 길면 구조적으로 대응 불가입니다</t>
    </r>
    <r>
      <rPr>
        <b val="true"/>
        <sz val="10"/>
        <color rgb="FFC00000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</si>
  <si>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런 전체 </t>
    </r>
    <r>
      <rPr>
        <b val="true"/>
        <sz val="13"/>
        <rFont val="Arial"/>
        <family val="0"/>
        <charset val="1"/>
      </rPr>
      <t xml:space="preserve">HP </t>
    </r>
    <r>
      <rPr>
        <b val="true"/>
        <sz val="13"/>
        <rFont val="Noto Sans CJK SC"/>
        <family val="2"/>
      </rPr>
      <t xml:space="preserve">예산</t>
    </r>
  </si>
  <si>
    <r>
      <rPr>
        <i val="true"/>
        <sz val="9"/>
        <color rgb="FF808080"/>
        <rFont val="Arial"/>
        <family val="0"/>
        <charset val="1"/>
      </rPr>
      <t xml:space="preserve">HP</t>
    </r>
    <r>
      <rPr>
        <i val="true"/>
        <sz val="9"/>
        <color rgb="FF808080"/>
        <rFont val="Noto Sans CJK SC"/>
        <family val="2"/>
      </rPr>
      <t xml:space="preserve">는 전투 사이에 이월됩니다</t>
    </r>
    <r>
      <rPr>
        <i val="true"/>
        <sz val="9"/>
        <color rgb="FF808080"/>
        <rFont val="Arial"/>
        <family val="0"/>
        <charset val="1"/>
      </rPr>
      <t xml:space="preserve">. 5</t>
    </r>
    <r>
      <rPr>
        <i val="true"/>
        <sz val="9"/>
        <color rgb="FF808080"/>
        <rFont val="Noto Sans CJK SC"/>
        <family val="2"/>
      </rPr>
      <t xml:space="preserve">전투를 버틸 수 있는지 여기서 확인하세요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노란 칸에 전투별 예상 피해를 입력합니다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</si>
  <si>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전투</t>
  </si>
  <si>
    <t xml:space="preserve">구성</t>
  </si>
  <si>
    <t xml:space="preserve">완벽 대응 시 피해</t>
  </si>
  <si>
    <t xml:space="preserve">평범 대응 시 피해</t>
  </si>
  <si>
    <r>
      <rPr>
        <b val="true"/>
        <sz val="10"/>
        <color rgb="FFFFFFFF"/>
        <rFont val="Noto Sans CJK SC"/>
        <family val="2"/>
      </rPr>
      <t xml:space="preserve">누적 </t>
    </r>
    <r>
      <rPr>
        <b val="true"/>
        <sz val="10"/>
        <color rgb="FFFFFFFF"/>
        <rFont val="Arial"/>
        <family val="0"/>
        <charset val="1"/>
      </rPr>
      <t xml:space="preserve">HP (</t>
    </r>
    <r>
      <rPr>
        <b val="true"/>
        <sz val="10"/>
        <color rgb="FFFFFFFF"/>
        <rFont val="Noto Sans CJK SC"/>
        <family val="2"/>
      </rPr>
      <t xml:space="preserve">완벽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</si>
  <si>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누적 </t>
    </r>
    <r>
      <rPr>
        <b val="true"/>
        <sz val="10"/>
        <color rgb="FFFFFFFF"/>
        <rFont val="Arial"/>
        <family val="0"/>
        <charset val="1"/>
      </rPr>
      <t xml:space="preserve">HP (</t>
    </r>
    <r>
      <rPr>
        <b val="true"/>
        <sz val="10"/>
        <color rgb="FFFFFFFF"/>
        <rFont val="Noto Sans CJK SC"/>
        <family val="2"/>
      </rPr>
      <t xml:space="preserve">평범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</si>
  <si>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판정</t>
  </si>
  <si>
    <t xml:space="preserve">비고</t>
  </si>
  <si>
    <t xml:space="preserve">총 피해 — 완벽 대응</t>
  </si>
  <si>
    <t xml:space="preserve">총 피해 — 평범 대응</t>
  </si>
  <si>
    <t xml:space="preserve">포션 총 회복량</t>
  </si>
  <si>
    <r>
      <rPr>
        <i val="true"/>
        <sz val="9"/>
        <color rgb="FF808080"/>
        <rFont val="Noto Sans CJK SC"/>
        <family val="2"/>
      </rPr>
      <t xml:space="preserve">런 전체 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회 </t>
    </r>
    <r>
      <rPr>
        <i val="true"/>
        <sz val="9"/>
        <color rgb="FF808080"/>
        <rFont val="Arial"/>
        <family val="0"/>
        <charset val="1"/>
      </rPr>
      <t xml:space="preserve">x </t>
    </r>
    <r>
      <rPr>
        <i val="true"/>
        <sz val="9"/>
        <color rgb="FF808080"/>
        <rFont val="Noto Sans CJK SC"/>
        <family val="2"/>
      </rPr>
      <t xml:space="preserve">최대 </t>
    </r>
    <r>
      <rPr>
        <i val="true"/>
        <sz val="9"/>
        <color rgb="FF808080"/>
        <rFont val="Arial"/>
        <family val="0"/>
        <charset val="1"/>
      </rPr>
      <t xml:space="preserve">HP 50%</t>
    </r>
  </si>
  <si>
    <t xml:space="preserve">감당 가능 총 피해</t>
  </si>
  <si>
    <r>
      <rPr>
        <i val="true"/>
        <sz val="9"/>
        <color rgb="FF808080"/>
        <rFont val="Noto Sans CJK SC"/>
        <family val="2"/>
      </rPr>
      <t xml:space="preserve">최대 </t>
    </r>
    <r>
      <rPr>
        <i val="true"/>
        <sz val="9"/>
        <color rgb="FF808080"/>
        <rFont val="Arial"/>
        <family val="0"/>
        <charset val="1"/>
      </rPr>
      <t xml:space="preserve">HP + </t>
    </r>
    <r>
      <rPr>
        <i val="true"/>
        <sz val="9"/>
        <color rgb="FF808080"/>
        <rFont val="Noto Sans CJK SC"/>
        <family val="2"/>
      </rPr>
      <t xml:space="preserve">포션 총량</t>
    </r>
  </si>
  <si>
    <t xml:space="preserve">완벽 대응 여유</t>
  </si>
  <si>
    <r>
      <rPr>
        <i val="true"/>
        <sz val="9"/>
        <color rgb="FF808080"/>
        <rFont val="Noto Sans CJK SC"/>
        <family val="2"/>
      </rPr>
      <t xml:space="preserve">클수록 쉬움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600 </t>
    </r>
    <r>
      <rPr>
        <i val="true"/>
        <sz val="9"/>
        <color rgb="FF808080"/>
        <rFont val="Noto Sans CJK SC"/>
        <family val="2"/>
      </rPr>
      <t xml:space="preserve">이상</t>
    </r>
  </si>
  <si>
    <t xml:space="preserve">평범 대응 여유</t>
  </si>
  <si>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0~200. </t>
    </r>
    <r>
      <rPr>
        <i val="true"/>
        <sz val="9"/>
        <color rgb="FF808080"/>
        <rFont val="Noto Sans CJK SC"/>
        <family val="2"/>
      </rPr>
      <t xml:space="preserve">음수면 평범한 플레이로 클리어 불가</t>
    </r>
  </si>
  <si>
    <t xml:space="preserve">대응 성공의 가치</t>
  </si>
  <si>
    <r>
      <rPr>
        <i val="true"/>
        <sz val="9"/>
        <color rgb="FF808080"/>
        <rFont val="Noto Sans CJK SC"/>
        <family val="2"/>
      </rPr>
      <t xml:space="preserve">이 값이 클수록 방어 카드가 의미 있음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목표 </t>
    </r>
    <r>
      <rPr>
        <i val="true"/>
        <sz val="9"/>
        <color rgb="FF808080"/>
        <rFont val="Arial"/>
        <family val="0"/>
        <charset val="1"/>
      </rPr>
      <t xml:space="preserve">300 </t>
    </r>
    <r>
      <rPr>
        <i val="true"/>
        <sz val="9"/>
        <color rgb="FF808080"/>
        <rFont val="Noto Sans CJK SC"/>
        <family val="2"/>
      </rPr>
      <t xml:space="preserve">이상</t>
    </r>
  </si>
  <si>
    <t xml:space="preserve">설계 목표</t>
  </si>
  <si>
    <r>
      <rPr>
        <i val="true"/>
        <sz val="9"/>
        <color rgb="FF808080"/>
        <rFont val="Noto Sans CJK SC"/>
        <family val="2"/>
      </rPr>
      <t xml:space="preserve">완벽하게 대응하면 포션을 거의 안 쓰고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평범하면 다 쓰고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못하면 죽는다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</si>
  <si>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대응 성공의 가치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가 작으면 방어 카드를 넣을 이유가 없습니다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빨강 공격 피해를 키우세요</t>
    </r>
    <r>
      <rPr>
        <i val="true"/>
        <sz val="9"/>
        <color rgb="FF808080"/>
        <rFont val="Arial"/>
        <family val="0"/>
        <charset val="1"/>
      </rPr>
      <t xml:space="preserve">.</t>
    </r>
  </si>
  <si>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평범 대응 여유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가 크게 음수면 </t>
    </r>
    <r>
      <rPr>
        <i val="true"/>
        <sz val="9"/>
        <color rgb="FF808080"/>
        <rFont val="Arial"/>
        <family val="0"/>
        <charset val="1"/>
      </rPr>
      <t xml:space="preserve">2~3</t>
    </r>
    <r>
      <rPr>
        <i val="true"/>
        <sz val="9"/>
        <color rgb="FF808080"/>
        <rFont val="Noto Sans CJK SC"/>
        <family val="2"/>
      </rPr>
      <t xml:space="preserve">전투에서 이미 클리어가 불가능해집니다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 피해를 낮추세요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</si>
  <si>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인카운터 구성 및 실측</t>
  </si>
  <si>
    <r>
      <rPr>
        <i val="true"/>
        <sz val="9"/>
        <color rgb="FF808080"/>
        <rFont val="Arial"/>
        <family val="0"/>
        <charset val="1"/>
      </rPr>
      <t xml:space="preserve">D</t>
    </r>
    <r>
      <rPr>
        <i val="true"/>
        <sz val="9"/>
        <color rgb="FF808080"/>
        <rFont val="Noto Sans CJK SC"/>
        <family val="2"/>
      </rPr>
      <t xml:space="preserve">열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실측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Noto Sans CJK SC"/>
        <family val="2"/>
      </rPr>
      <t xml:space="preserve">은 </t>
    </r>
    <r>
      <rPr>
        <i val="true"/>
        <sz val="9"/>
        <color rgb="FF808080"/>
        <rFont val="Arial"/>
        <family val="0"/>
        <charset val="1"/>
      </rPr>
      <t xml:space="preserve">18</t>
    </r>
    <r>
      <rPr>
        <i val="true"/>
        <sz val="9"/>
        <color rgb="FF808080"/>
        <rFont val="Noto Sans CJK SC"/>
        <family val="2"/>
      </rPr>
      <t xml:space="preserve">일차에 스톱워치로 측정해 기입</t>
    </r>
    <r>
      <rPr>
        <i val="true"/>
        <sz val="9"/>
        <color rgb="FF808080"/>
        <rFont val="Arial"/>
        <family val="0"/>
        <charset val="1"/>
      </rPr>
      <t xml:space="preserve">. E·F</t>
    </r>
    <r>
      <rPr>
        <i val="true"/>
        <sz val="9"/>
        <color rgb="FF808080"/>
        <rFont val="Noto Sans CJK SC"/>
        <family val="2"/>
      </rPr>
      <t xml:space="preserve">열은 자동 계산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</si>
  <si>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번호</t>
  </si>
  <si>
    <r>
      <rPr>
        <b val="true"/>
        <sz val="10"/>
        <color rgb="FFFFFFFF"/>
        <rFont val="Noto Sans CJK SC"/>
        <family val="2"/>
      </rPr>
      <t xml:space="preserve">목표 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</si>
  <si>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실측 시간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</si>
  <si>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차이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</si>
  <si>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오차율</t>
  </si>
  <si>
    <t xml:space="preserve">신규 요소</t>
  </si>
  <si>
    <t xml:space="preserve">수정 내용과 근거</t>
  </si>
  <si>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Noto Sans CJK SC"/>
        <family val="2"/>
      </rPr>
      <t xml:space="preserve">예시</t>
    </r>
    <r>
      <rPr>
        <i val="true"/>
        <sz val="9"/>
        <color rgb="FF808080"/>
        <rFont val="Arial"/>
        <family val="0"/>
        <charset val="1"/>
      </rPr>
      <t xml:space="preserve">) </t>
    </r>
    <r>
      <rPr>
        <i val="true"/>
        <sz val="9"/>
        <color rgb="FF808080"/>
        <rFont val="Noto Sans CJK SC"/>
        <family val="2"/>
      </rPr>
      <t xml:space="preserve">잡몹</t>
    </r>
    <r>
      <rPr>
        <i val="true"/>
        <sz val="9"/>
        <color rgb="FF808080"/>
        <rFont val="Arial"/>
        <family val="0"/>
        <charset val="1"/>
      </rPr>
      <t xml:space="preserve">A ×2</t>
    </r>
  </si>
  <si>
    <t xml:space="preserve">기본 루프</t>
  </si>
  <si>
    <r>
      <rPr>
        <i val="true"/>
        <sz val="9"/>
        <color rgb="FF808080"/>
        <rFont val="Noto Sans CJK SC"/>
        <family val="2"/>
      </rPr>
      <t xml:space="preserve">목표 대비 </t>
    </r>
    <r>
      <rPr>
        <i val="true"/>
        <sz val="9"/>
        <color rgb="FF808080"/>
        <rFont val="Arial"/>
        <family val="0"/>
        <charset val="1"/>
      </rPr>
      <t xml:space="preserve">45% </t>
    </r>
    <r>
      <rPr>
        <i val="true"/>
        <sz val="9"/>
        <color rgb="FF808080"/>
        <rFont val="Noto Sans CJK SC"/>
        <family val="2"/>
      </rPr>
      <t xml:space="preserve">초과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적 </t>
    </r>
    <r>
      <rPr>
        <i val="true"/>
        <sz val="9"/>
        <color rgb="FF808080"/>
        <rFont val="Arial"/>
        <family val="0"/>
        <charset val="1"/>
      </rPr>
      <t xml:space="preserve">HP 300→220 </t>
    </r>
    <r>
      <rPr>
        <i val="true"/>
        <sz val="9"/>
        <color rgb="FF808080"/>
        <rFont val="Noto Sans CJK SC"/>
        <family val="2"/>
      </rPr>
      <t xml:space="preserve">하향 </t>
    </r>
    <r>
      <rPr>
        <i val="true"/>
        <sz val="9"/>
        <color rgb="FF808080"/>
        <rFont val="Arial"/>
        <family val="0"/>
        <charset val="1"/>
      </rPr>
      <t xml:space="preserve">(18</t>
    </r>
    <r>
      <rPr>
        <i val="true"/>
        <sz val="9"/>
        <color rgb="FF808080"/>
        <rFont val="Noto Sans CJK SC"/>
        <family val="2"/>
      </rPr>
      <t xml:space="preserve">일차</t>
    </r>
    <r>
      <rPr>
        <i val="true"/>
        <sz val="9"/>
        <color rgb="FF808080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</si>
  <si>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총 목표 전투 시간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초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</si>
  <si>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목표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전투 합계 </t>
    </r>
    <r>
      <rPr>
        <i val="true"/>
        <sz val="9"/>
        <color rgb="FF808080"/>
        <rFont val="Arial"/>
        <family val="0"/>
        <charset val="1"/>
      </rPr>
      <t xml:space="preserve">6~7</t>
    </r>
    <r>
      <rPr>
        <i val="true"/>
        <sz val="9"/>
        <color rgb="FF808080"/>
        <rFont val="Noto Sans CJK SC"/>
        <family val="2"/>
      </rPr>
      <t xml:space="preserve">분 </t>
    </r>
    <r>
      <rPr>
        <i val="true"/>
        <sz val="9"/>
        <color rgb="FF808080"/>
        <rFont val="Arial"/>
        <family val="0"/>
        <charset val="1"/>
      </rPr>
      <t xml:space="preserve">(360~420</t>
    </r>
    <r>
      <rPr>
        <i val="true"/>
        <sz val="9"/>
        <color rgb="FF808080"/>
        <rFont val="Noto Sans CJK SC"/>
        <family val="2"/>
      </rPr>
      <t xml:space="preserve">초</t>
    </r>
    <r>
      <rPr>
        <i val="true"/>
        <sz val="9"/>
        <color rgb="FF808080"/>
        <rFont val="Arial"/>
        <family val="0"/>
        <charset val="1"/>
      </rPr>
      <t xml:space="preserve">)</t>
    </r>
  </si>
  <si>
    <r>
      <rPr>
        <b val="true"/>
        <sz val="10"/>
        <rFont val="Noto Sans CJK SC"/>
        <family val="2"/>
      </rPr>
      <t xml:space="preserve">총 실측 전투 시간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초</t>
    </r>
    <r>
      <rPr>
        <b val="true"/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</si>
</sst>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0"/>
    <numFmt numFmtId="167" formatCode="0.0"/>
    <numFmt numFmtId="168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FF"/>
      <name val="Arial"/>
      <family val="0"/>
      <charset val="1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4546A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s">
        <v>4</v>
      </c>
    </row>
    <row r="6" customFormat="false" ht="15" hidden="false" customHeight="false" outlineLevel="0" collapsed="false">
      <c r="A6" s="7" t="s">
        <v>5</v>
      </c>
      <c r="B6" s="6" t="s">
        <v>6</v>
      </c>
    </row>
    <row r="7" customFormat="false" ht="15" hidden="false" customHeight="false" outlineLevel="0" collapsed="false">
      <c r="A7" s="2" t="s">
        <v>7</v>
      </c>
      <c r="B7" s="6" t="s">
        <v>8</v>
      </c>
    </row>
    <row r="8" customFormat="false" ht="15" hidden="false" customHeight="false" outlineLevel="0" collapsed="false">
      <c r="A8" s="7"/>
      <c r="B8" s="4"/>
    </row>
    <row r="9" customFormat="false" ht="15" hidden="false" customHeight="false" outlineLevel="0" collapsed="false">
      <c r="A9" s="3" t="s">
        <v>9</v>
      </c>
      <c r="B9" s="4"/>
    </row>
    <row r="10" customFormat="false" ht="15" hidden="false" customHeight="false" outlineLevel="0" collapsed="false">
      <c r="A10" s="7" t="s">
        <v>10</v>
      </c>
      <c r="B10" s="6" t="s">
        <v>11</v>
      </c>
    </row>
    <row r="11" customFormat="false" ht="15" hidden="false" customHeight="false" outlineLevel="0" collapsed="false">
      <c r="A11" s="7" t="s">
        <v>12</v>
      </c>
      <c r="B11" s="6" t="s">
        <v>13</v>
      </c>
    </row>
    <row r="12" customFormat="false" ht="29.8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7" t="s">
        <v>16</v>
      </c>
      <c r="B13" s="6" t="s">
        <v>17</v>
      </c>
    </row>
    <row r="14" customFormat="false" ht="15" hidden="false" customHeight="false" outlineLevel="0" collapsed="false">
      <c r="A14" s="7" t="s">
        <v>18</v>
      </c>
      <c r="B14" s="6" t="s">
        <v>19</v>
      </c>
    </row>
    <row r="17" customFormat="false" ht="15" hidden="false" customHeight="false" outlineLevel="0" collapsed="false">
      <c r="A17" s="3" t="s">
        <v>20</v>
      </c>
    </row>
    <row r="18" customFormat="false" ht="31.5" hidden="false" customHeight="true" outlineLevel="0" collapsed="false">
      <c r="A18" s="8" t="s">
        <v>21</v>
      </c>
      <c r="B18" s="8" t="s">
        <v>22</v>
      </c>
      <c r="C18" s="8" t="s">
        <v>23</v>
      </c>
      <c r="D18" s="8" t="s">
        <v>24</v>
      </c>
    </row>
    <row r="19" customFormat="false" ht="15" hidden="false" customHeight="false" outlineLevel="0" collapsed="false">
      <c r="A19" s="9" t="s">
        <v>25</v>
      </c>
      <c r="B19" s="10" t="s">
        <v>26</v>
      </c>
      <c r="C19" s="11" t="n">
        <v>1.8</v>
      </c>
      <c r="D19" s="12" t="s">
        <v>27</v>
      </c>
    </row>
    <row r="20" customFormat="false" ht="15" hidden="false" customHeight="false" outlineLevel="0" collapsed="false">
      <c r="A20" s="9" t="s">
        <v>28</v>
      </c>
      <c r="B20" s="10" t="s">
        <v>29</v>
      </c>
      <c r="C20" s="11" t="n">
        <v>100</v>
      </c>
      <c r="D20" s="12" t="s">
        <v>27</v>
      </c>
    </row>
    <row r="21" customFormat="false" ht="15" hidden="false" customHeight="false" outlineLevel="0" collapsed="false">
      <c r="A21" s="9" t="s">
        <v>30</v>
      </c>
      <c r="B21" s="10" t="s">
        <v>31</v>
      </c>
      <c r="C21" s="11" t="n">
        <v>20</v>
      </c>
      <c r="D21" s="12" t="s">
        <v>32</v>
      </c>
    </row>
    <row r="22" customFormat="false" ht="15" hidden="false" customHeight="false" outlineLevel="0" collapsed="false">
      <c r="A22" s="9" t="s">
        <v>33</v>
      </c>
      <c r="B22" s="10" t="s">
        <v>34</v>
      </c>
      <c r="C22" s="13" t="n">
        <f aca="false">C21/(C21+C20)</f>
        <v>0.166666666666667</v>
      </c>
      <c r="D22" s="10" t="s">
        <v>35</v>
      </c>
    </row>
    <row r="23" customFormat="false" ht="15" hidden="false" customHeight="false" outlineLevel="0" collapsed="false">
      <c r="A23" s="9" t="s">
        <v>36</v>
      </c>
      <c r="B23" s="10" t="s">
        <v>37</v>
      </c>
      <c r="C23" s="11" t="n">
        <v>0.8</v>
      </c>
      <c r="D23" s="12" t="s">
        <v>27</v>
      </c>
    </row>
    <row r="24" customFormat="false" ht="15" hidden="false" customHeight="false" outlineLevel="0" collapsed="false">
      <c r="A24" s="9" t="s">
        <v>38</v>
      </c>
      <c r="B24" s="10" t="s">
        <v>39</v>
      </c>
      <c r="C24" s="11" t="n">
        <v>10</v>
      </c>
      <c r="D24" s="12" t="s">
        <v>27</v>
      </c>
    </row>
    <row r="25" customFormat="false" ht="15" hidden="false" customHeight="false" outlineLevel="0" collapsed="false">
      <c r="A25" s="9" t="s">
        <v>40</v>
      </c>
      <c r="B25" s="12"/>
      <c r="C25" s="11" t="n">
        <v>3</v>
      </c>
      <c r="D25" s="12" t="s">
        <v>27</v>
      </c>
    </row>
    <row r="26" customFormat="false" ht="29.85" hidden="false" customHeight="false" outlineLevel="0" collapsed="false">
      <c r="A26" s="9" t="s">
        <v>41</v>
      </c>
      <c r="B26" s="10" t="s">
        <v>42</v>
      </c>
      <c r="C26" s="11" t="n">
        <v>0.4</v>
      </c>
      <c r="D26" s="10" t="s">
        <v>43</v>
      </c>
    </row>
    <row r="27" customFormat="false" ht="15" hidden="false" customHeight="false" outlineLevel="0" collapsed="false">
      <c r="A27" s="9" t="s">
        <v>44</v>
      </c>
      <c r="B27" s="10" t="s">
        <v>45</v>
      </c>
      <c r="C27" s="11" t="n">
        <v>45</v>
      </c>
      <c r="D27" s="12" t="s">
        <v>27</v>
      </c>
    </row>
    <row r="28" customFormat="false" ht="15" hidden="false" customHeight="false" outlineLevel="0" collapsed="false">
      <c r="A28" s="9" t="s">
        <v>46</v>
      </c>
      <c r="B28" s="10" t="s">
        <v>45</v>
      </c>
      <c r="C28" s="11" t="n">
        <v>180</v>
      </c>
      <c r="D28" s="12" t="s">
        <v>27</v>
      </c>
    </row>
    <row r="29" customFormat="false" ht="15" hidden="false" customHeight="false" outlineLevel="0" collapsed="false">
      <c r="A29" s="9" t="s">
        <v>47</v>
      </c>
      <c r="B29" s="10" t="s">
        <v>48</v>
      </c>
      <c r="C29" s="11" t="n">
        <v>3</v>
      </c>
      <c r="D29" s="10" t="s">
        <v>49</v>
      </c>
    </row>
    <row r="31" customFormat="false" ht="15" hidden="false" customHeight="false" outlineLevel="0" collapsed="false">
      <c r="A31" s="14" t="s">
        <v>50</v>
      </c>
    </row>
    <row r="32" customFormat="false" ht="15" hidden="false" customHeight="false" outlineLevel="0" collapsed="false">
      <c r="A32" s="14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0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48"/>
  </cols>
  <sheetData>
    <row r="1" customFormat="false" ht="16.15" hidden="false" customHeight="false" outlineLevel="0" collapsed="false">
      <c r="A1" s="15" t="s">
        <v>52</v>
      </c>
    </row>
    <row r="2" customFormat="false" ht="15" hidden="false" customHeight="false" outlineLevel="0" collapsed="false">
      <c r="A2" s="2" t="s">
        <v>53</v>
      </c>
    </row>
    <row r="4" customFormat="false" ht="31.5" hidden="false" customHeight="true" outlineLevel="0" collapsed="false">
      <c r="A4" s="8" t="s">
        <v>54</v>
      </c>
      <c r="B4" s="16" t="s">
        <v>55</v>
      </c>
      <c r="C4" s="8" t="s">
        <v>56</v>
      </c>
      <c r="D4" s="8" t="s">
        <v>57</v>
      </c>
      <c r="E4" s="8" t="s">
        <v>58</v>
      </c>
      <c r="F4" s="8" t="s">
        <v>59</v>
      </c>
      <c r="G4" s="8" t="s">
        <v>60</v>
      </c>
    </row>
    <row r="5" customFormat="false" ht="15" hidden="false" customHeight="false" outlineLevel="0" collapsed="false">
      <c r="A5" s="17" t="s">
        <v>61</v>
      </c>
      <c r="B5" s="17" t="n">
        <v>500</v>
      </c>
      <c r="C5" s="17" t="n">
        <v>100</v>
      </c>
      <c r="D5" s="17" t="n">
        <v>20</v>
      </c>
      <c r="E5" s="18" t="n">
        <v>0.15</v>
      </c>
      <c r="F5" s="19" t="n">
        <f aca="false">IF(E5="","",1+E5*(범례!$C$19-1))</f>
        <v>1.12</v>
      </c>
      <c r="G5" s="20" t="s">
        <v>62</v>
      </c>
    </row>
    <row r="6" customFormat="false" ht="15" hidden="false" customHeight="false" outlineLevel="0" collapsed="false">
      <c r="A6" s="11"/>
      <c r="B6" s="11"/>
      <c r="C6" s="11"/>
      <c r="D6" s="11"/>
      <c r="E6" s="21"/>
      <c r="F6" s="22" t="str">
        <f aca="false">IF(E6="","",1+E6*(범례!$C$19-1))</f>
        <v/>
      </c>
      <c r="G6" s="23"/>
    </row>
    <row r="7" customFormat="false" ht="15" hidden="false" customHeight="false" outlineLevel="0" collapsed="false">
      <c r="A7" s="11"/>
      <c r="B7" s="11"/>
      <c r="C7" s="11"/>
      <c r="D7" s="11"/>
      <c r="E7" s="21"/>
      <c r="F7" s="22" t="str">
        <f aca="false">IF(E7="","",1+E7*(범례!$C$19-1))</f>
        <v/>
      </c>
      <c r="G7" s="23"/>
    </row>
    <row r="8" customFormat="false" ht="15" hidden="false" customHeight="false" outlineLevel="0" collapsed="false">
      <c r="A8" s="11"/>
      <c r="B8" s="11"/>
      <c r="C8" s="11"/>
      <c r="D8" s="11"/>
      <c r="E8" s="21"/>
      <c r="F8" s="22" t="str">
        <f aca="false">IF(E8="","",1+E8*(범례!$C$19-1))</f>
        <v/>
      </c>
      <c r="G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44"/>
    <col collapsed="false" customWidth="true" hidden="false" outlineLevel="0" max="17" min="16" style="0" width="13"/>
  </cols>
  <sheetData>
    <row r="1" customFormat="false" ht="20.1" hidden="false" customHeight="false" outlineLevel="0" collapsed="false">
      <c r="A1" s="15" t="s">
        <v>63</v>
      </c>
    </row>
    <row r="2" customFormat="false" ht="15" hidden="false" customHeight="false" outlineLevel="0" collapsed="false">
      <c r="A2" s="24" t="s">
        <v>64</v>
      </c>
    </row>
    <row r="4" customFormat="false" ht="31.5" hidden="false" customHeight="true" outlineLevel="0" collapsed="false">
      <c r="A4" s="16" t="s">
        <v>65</v>
      </c>
      <c r="B4" s="8" t="s">
        <v>66</v>
      </c>
      <c r="C4" s="8" t="s">
        <v>67</v>
      </c>
      <c r="D4" s="8" t="s">
        <v>68</v>
      </c>
      <c r="E4" s="8" t="s">
        <v>69</v>
      </c>
      <c r="F4" s="8" t="s">
        <v>70</v>
      </c>
      <c r="G4" s="8" t="s">
        <v>71</v>
      </c>
      <c r="H4" s="8" t="s">
        <v>72</v>
      </c>
      <c r="I4" s="8" t="s">
        <v>73</v>
      </c>
      <c r="J4" s="8" t="s">
        <v>74</v>
      </c>
      <c r="K4" s="8" t="s">
        <v>75</v>
      </c>
      <c r="L4" s="8" t="s">
        <v>76</v>
      </c>
      <c r="M4" s="8" t="s">
        <v>77</v>
      </c>
      <c r="N4" s="8" t="s">
        <v>78</v>
      </c>
      <c r="O4" s="8" t="s">
        <v>79</v>
      </c>
      <c r="P4" s="8" t="s">
        <v>80</v>
      </c>
      <c r="Q4" s="8" t="s">
        <v>81</v>
      </c>
    </row>
    <row r="5" customFormat="false" ht="26.85" hidden="false" customHeight="false" outlineLevel="0" collapsed="false">
      <c r="A5" s="17" t="s">
        <v>82</v>
      </c>
      <c r="B5" s="17" t="s">
        <v>83</v>
      </c>
      <c r="C5" s="25" t="s">
        <v>84</v>
      </c>
      <c r="D5" s="25" t="n">
        <v>7</v>
      </c>
      <c r="E5" s="25" t="n">
        <v>1.2</v>
      </c>
      <c r="F5" s="26" t="n">
        <f aca="false">IF(E5="","",MAX(E5,범례!$C$26))</f>
        <v>1.2</v>
      </c>
      <c r="G5" s="25" t="n">
        <v>0.9</v>
      </c>
      <c r="H5" s="25" t="n">
        <v>2</v>
      </c>
      <c r="I5" s="19" t="n">
        <f aca="false">IF(G5="","",G5*H5)</f>
        <v>1.8</v>
      </c>
      <c r="J5" s="27" t="n">
        <f aca="false">IF(I5="","",직업!$C$5*I5*(1-범례!$C$22)*직업!$F$5)</f>
        <v>168</v>
      </c>
      <c r="K5" s="26" t="n">
        <f aca="false">IF(OR(J5="",D5="",D5=0),"",J5/D5)</f>
        <v>24</v>
      </c>
      <c r="L5" s="26" t="n">
        <f aca="false">IF(OR(J5="",F5="",F5=0),"",J5/F5)</f>
        <v>140</v>
      </c>
      <c r="M5" s="25"/>
      <c r="N5" s="25"/>
      <c r="O5" s="20" t="s">
        <v>85</v>
      </c>
      <c r="P5" s="26" t="n">
        <f aca="false">IF(AND(LEFT($C5,1)="딜",ISNUMBER(K5)),K5,"")</f>
        <v>24</v>
      </c>
      <c r="Q5" s="26" t="n">
        <f aca="false">IF(AND(LEFT($C5,1)="딜",ISNUMBER(L5)),L5,"")</f>
        <v>140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28" t="str">
        <f aca="false">IF(E6="","",MAX(E6,범례!$C$26))</f>
        <v/>
      </c>
      <c r="G6" s="11"/>
      <c r="H6" s="11"/>
      <c r="I6" s="22" t="str">
        <f aca="false">IF(G6="","",G6*H6)</f>
        <v/>
      </c>
      <c r="J6" s="29" t="str">
        <f aca="false">IF(I6="","",직업!$C$5*I6*(1-범례!$C$22)*직업!$F$5)</f>
        <v/>
      </c>
      <c r="K6" s="28" t="str">
        <f aca="false">IF(OR(J6="",D6="",D6=0),"",J6/D6)</f>
        <v/>
      </c>
      <c r="L6" s="28" t="str">
        <f aca="false">IF(OR(J6="",F6="",F6=0),"",J6/F6)</f>
        <v/>
      </c>
      <c r="M6" s="11"/>
      <c r="N6" s="11"/>
      <c r="O6" s="23"/>
      <c r="P6" s="28" t="str">
        <f aca="false">IF(AND(LEFT($C6,1)="딜",ISNUMBER(K6)),K6,"")</f>
        <v/>
      </c>
      <c r="Q6" s="28" t="str">
        <f aca="false">IF(AND(LEFT($C6,1)="딜",ISNUMBER(L6)),L6,"")</f>
        <v/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28" t="str">
        <f aca="false">IF(E7="","",MAX(E7,범례!$C$26))</f>
        <v/>
      </c>
      <c r="G7" s="11"/>
      <c r="H7" s="11"/>
      <c r="I7" s="22" t="str">
        <f aca="false">IF(G7="","",G7*H7)</f>
        <v/>
      </c>
      <c r="J7" s="29" t="str">
        <f aca="false">IF(I7="","",직업!$C$5*I7*(1-범례!$C$22)*직업!$F$5)</f>
        <v/>
      </c>
      <c r="K7" s="28" t="str">
        <f aca="false">IF(OR(J7="",D7="",D7=0),"",J7/D7)</f>
        <v/>
      </c>
      <c r="L7" s="28" t="str">
        <f aca="false">IF(OR(J7="",F7="",F7=0),"",J7/F7)</f>
        <v/>
      </c>
      <c r="M7" s="11"/>
      <c r="N7" s="11"/>
      <c r="O7" s="23"/>
      <c r="P7" s="28" t="str">
        <f aca="false">IF(AND(LEFT($C7,1)="딜",ISNUMBER(K7)),K7,"")</f>
        <v/>
      </c>
      <c r="Q7" s="28" t="str">
        <f aca="false">IF(AND(LEFT($C7,1)="딜",ISNUMBER(L7)),L7,"")</f>
        <v/>
      </c>
    </row>
    <row r="8" customFormat="false" ht="15" hidden="false" customHeight="false" outlineLevel="0" collapsed="false">
      <c r="A8" s="11"/>
      <c r="B8" s="11"/>
      <c r="C8" s="11"/>
      <c r="D8" s="11"/>
      <c r="E8" s="11"/>
      <c r="F8" s="28" t="str">
        <f aca="false">IF(E8="","",MAX(E8,범례!$C$26))</f>
        <v/>
      </c>
      <c r="G8" s="11"/>
      <c r="H8" s="11"/>
      <c r="I8" s="22" t="str">
        <f aca="false">IF(G8="","",G8*H8)</f>
        <v/>
      </c>
      <c r="J8" s="29" t="str">
        <f aca="false">IF(I8="","",직업!$C$5*I8*(1-범례!$C$22)*직업!$F$5)</f>
        <v/>
      </c>
      <c r="K8" s="28" t="str">
        <f aca="false">IF(OR(J8="",D8="",D8=0),"",J8/D8)</f>
        <v/>
      </c>
      <c r="L8" s="28" t="str">
        <f aca="false">IF(OR(J8="",F8="",F8=0),"",J8/F8)</f>
        <v/>
      </c>
      <c r="M8" s="11"/>
      <c r="N8" s="11"/>
      <c r="O8" s="23"/>
      <c r="P8" s="28" t="str">
        <f aca="false">IF(AND(LEFT($C8,1)="딜",ISNUMBER(K8)),K8,"")</f>
        <v/>
      </c>
      <c r="Q8" s="28" t="str">
        <f aca="false">IF(AND(LEFT($C8,1)="딜",ISNUMBER(L8)),L8,"")</f>
        <v/>
      </c>
    </row>
    <row r="9" customFormat="false" ht="15" hidden="false" customHeight="false" outlineLevel="0" collapsed="false">
      <c r="A9" s="11"/>
      <c r="B9" s="11"/>
      <c r="C9" s="11"/>
      <c r="D9" s="11"/>
      <c r="E9" s="11"/>
      <c r="F9" s="28" t="str">
        <f aca="false">IF(E9="","",MAX(E9,범례!$C$26))</f>
        <v/>
      </c>
      <c r="G9" s="11"/>
      <c r="H9" s="11"/>
      <c r="I9" s="22" t="str">
        <f aca="false">IF(G9="","",G9*H9)</f>
        <v/>
      </c>
      <c r="J9" s="29" t="str">
        <f aca="false">IF(I9="","",직업!$C$5*I9*(1-범례!$C$22)*직업!$F$5)</f>
        <v/>
      </c>
      <c r="K9" s="28" t="str">
        <f aca="false">IF(OR(J9="",D9="",D9=0),"",J9/D9)</f>
        <v/>
      </c>
      <c r="L9" s="28" t="str">
        <f aca="false">IF(OR(J9="",F9="",F9=0),"",J9/F9)</f>
        <v/>
      </c>
      <c r="M9" s="11"/>
      <c r="N9" s="11"/>
      <c r="O9" s="23"/>
      <c r="P9" s="28" t="str">
        <f aca="false">IF(AND(LEFT($C9,1)="딜",ISNUMBER(K9)),K9,"")</f>
        <v/>
      </c>
      <c r="Q9" s="28" t="str">
        <f aca="false">IF(AND(LEFT($C9,1)="딜",ISNUMBER(L9)),L9,"")</f>
        <v/>
      </c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28" t="str">
        <f aca="false">IF(E10="","",MAX(E10,범례!$C$26))</f>
        <v/>
      </c>
      <c r="G10" s="11"/>
      <c r="H10" s="11"/>
      <c r="I10" s="22" t="str">
        <f aca="false">IF(G10="","",G10*H10)</f>
        <v/>
      </c>
      <c r="J10" s="29" t="str">
        <f aca="false">IF(I10="","",직업!$C$5*I10*(1-범례!$C$22)*직업!$F$5)</f>
        <v/>
      </c>
      <c r="K10" s="28" t="str">
        <f aca="false">IF(OR(J10="",D10="",D10=0),"",J10/D10)</f>
        <v/>
      </c>
      <c r="L10" s="28" t="str">
        <f aca="false">IF(OR(J10="",F10="",F10=0),"",J10/F10)</f>
        <v/>
      </c>
      <c r="M10" s="11"/>
      <c r="N10" s="11"/>
      <c r="O10" s="23"/>
      <c r="P10" s="28" t="str">
        <f aca="false">IF(AND(LEFT($C10,1)="딜",ISNUMBER(K10)),K10,"")</f>
        <v/>
      </c>
      <c r="Q10" s="28" t="str">
        <f aca="false">IF(AND(LEFT($C10,1)="딜",ISNUMBER(L10)),L10,"")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28" t="str">
        <f aca="false">IF(E11="","",MAX(E11,범례!$C$26))</f>
        <v/>
      </c>
      <c r="G11" s="11"/>
      <c r="H11" s="11"/>
      <c r="I11" s="22" t="str">
        <f aca="false">IF(G11="","",G11*H11)</f>
        <v/>
      </c>
      <c r="J11" s="29" t="str">
        <f aca="false">IF(I11="","",직업!$C$5*I11*(1-범례!$C$22)*직업!$F$5)</f>
        <v/>
      </c>
      <c r="K11" s="28" t="str">
        <f aca="false">IF(OR(J11="",D11="",D11=0),"",J11/D11)</f>
        <v/>
      </c>
      <c r="L11" s="28" t="str">
        <f aca="false">IF(OR(J11="",F11="",F11=0),"",J11/F11)</f>
        <v/>
      </c>
      <c r="M11" s="11"/>
      <c r="N11" s="11"/>
      <c r="O11" s="23"/>
      <c r="P11" s="28" t="str">
        <f aca="false">IF(AND(LEFT($C11,1)="딜",ISNUMBER(K11)),K11,"")</f>
        <v/>
      </c>
      <c r="Q11" s="28" t="str">
        <f aca="false">IF(AND(LEFT($C11,1)="딜",ISNUMBER(L11)),L11,"")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28" t="str">
        <f aca="false">IF(E12="","",MAX(E12,범례!$C$26))</f>
        <v/>
      </c>
      <c r="G12" s="11"/>
      <c r="H12" s="11"/>
      <c r="I12" s="22" t="str">
        <f aca="false">IF(G12="","",G12*H12)</f>
        <v/>
      </c>
      <c r="J12" s="29" t="str">
        <f aca="false">IF(I12="","",직업!$C$5*I12*(1-범례!$C$22)*직업!$F$5)</f>
        <v/>
      </c>
      <c r="K12" s="28" t="str">
        <f aca="false">IF(OR(J12="",D12="",D12=0),"",J12/D12)</f>
        <v/>
      </c>
      <c r="L12" s="28" t="str">
        <f aca="false">IF(OR(J12="",F12="",F12=0),"",J12/F12)</f>
        <v/>
      </c>
      <c r="M12" s="11"/>
      <c r="N12" s="11"/>
      <c r="O12" s="23"/>
      <c r="P12" s="28" t="str">
        <f aca="false">IF(AND(LEFT($C12,1)="딜",ISNUMBER(K12)),K12,"")</f>
        <v/>
      </c>
      <c r="Q12" s="28" t="str">
        <f aca="false">IF(AND(LEFT($C12,1)="딜",ISNUMBER(L12)),L12,"")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28" t="str">
        <f aca="false">IF(E13="","",MAX(E13,범례!$C$26))</f>
        <v/>
      </c>
      <c r="G13" s="11"/>
      <c r="H13" s="11"/>
      <c r="I13" s="22" t="str">
        <f aca="false">IF(G13="","",G13*H13)</f>
        <v/>
      </c>
      <c r="J13" s="29" t="str">
        <f aca="false">IF(I13="","",직업!$C$5*I13*(1-범례!$C$22)*직업!$F$5)</f>
        <v/>
      </c>
      <c r="K13" s="28" t="str">
        <f aca="false">IF(OR(J13="",D13="",D13=0),"",J13/D13)</f>
        <v/>
      </c>
      <c r="L13" s="28" t="str">
        <f aca="false">IF(OR(J13="",F13="",F13=0),"",J13/F13)</f>
        <v/>
      </c>
      <c r="M13" s="11"/>
      <c r="N13" s="11"/>
      <c r="O13" s="23"/>
      <c r="P13" s="28" t="str">
        <f aca="false">IF(AND(LEFT($C13,1)="딜",ISNUMBER(K13)),K13,"")</f>
        <v/>
      </c>
      <c r="Q13" s="28" t="str">
        <f aca="false">IF(AND(LEFT($C13,1)="딜",ISNUMBER(L13)),L13,"")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28" t="str">
        <f aca="false">IF(E14="","",MAX(E14,범례!$C$26))</f>
        <v/>
      </c>
      <c r="G14" s="11"/>
      <c r="H14" s="11"/>
      <c r="I14" s="22" t="str">
        <f aca="false">IF(G14="","",G14*H14)</f>
        <v/>
      </c>
      <c r="J14" s="29" t="str">
        <f aca="false">IF(I14="","",직업!$C$5*I14*(1-범례!$C$22)*직업!$F$5)</f>
        <v/>
      </c>
      <c r="K14" s="28" t="str">
        <f aca="false">IF(OR(J14="",D14="",D14=0),"",J14/D14)</f>
        <v/>
      </c>
      <c r="L14" s="28" t="str">
        <f aca="false">IF(OR(J14="",F14="",F14=0),"",J14/F14)</f>
        <v/>
      </c>
      <c r="M14" s="11"/>
      <c r="N14" s="11"/>
      <c r="O14" s="23"/>
      <c r="P14" s="28" t="str">
        <f aca="false">IF(AND(LEFT($C14,1)="딜",ISNUMBER(K14)),K14,"")</f>
        <v/>
      </c>
      <c r="Q14" s="28" t="str">
        <f aca="false">IF(AND(LEFT($C14,1)="딜",ISNUMBER(L14)),L14,"")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28" t="str">
        <f aca="false">IF(E15="","",MAX(E15,범례!$C$26))</f>
        <v/>
      </c>
      <c r="G15" s="11"/>
      <c r="H15" s="11"/>
      <c r="I15" s="22" t="str">
        <f aca="false">IF(G15="","",G15*H15)</f>
        <v/>
      </c>
      <c r="J15" s="29" t="str">
        <f aca="false">IF(I15="","",직업!$C$5*I15*(1-범례!$C$22)*직업!$F$5)</f>
        <v/>
      </c>
      <c r="K15" s="28" t="str">
        <f aca="false">IF(OR(J15="",D15="",D15=0),"",J15/D15)</f>
        <v/>
      </c>
      <c r="L15" s="28" t="str">
        <f aca="false">IF(OR(J15="",F15="",F15=0),"",J15/F15)</f>
        <v/>
      </c>
      <c r="M15" s="11"/>
      <c r="N15" s="11"/>
      <c r="O15" s="23"/>
      <c r="P15" s="28" t="str">
        <f aca="false">IF(AND(LEFT($C15,1)="딜",ISNUMBER(K15)),K15,"")</f>
        <v/>
      </c>
      <c r="Q15" s="28" t="str">
        <f aca="false">IF(AND(LEFT($C15,1)="딜",ISNUMBER(L15)),L15,"")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28" t="str">
        <f aca="false">IF(E16="","",MAX(E16,범례!$C$26))</f>
        <v/>
      </c>
      <c r="G16" s="11"/>
      <c r="H16" s="11"/>
      <c r="I16" s="22" t="str">
        <f aca="false">IF(G16="","",G16*H16)</f>
        <v/>
      </c>
      <c r="J16" s="29" t="str">
        <f aca="false">IF(I16="","",직업!$C$5*I16*(1-범례!$C$22)*직업!$F$5)</f>
        <v/>
      </c>
      <c r="K16" s="28" t="str">
        <f aca="false">IF(OR(J16="",D16="",D16=0),"",J16/D16)</f>
        <v/>
      </c>
      <c r="L16" s="28" t="str">
        <f aca="false">IF(OR(J16="",F16="",F16=0),"",J16/F16)</f>
        <v/>
      </c>
      <c r="M16" s="11"/>
      <c r="N16" s="11"/>
      <c r="O16" s="23"/>
      <c r="P16" s="28" t="str">
        <f aca="false">IF(AND(LEFT($C16,1)="딜",ISNUMBER(K16)),K16,"")</f>
        <v/>
      </c>
      <c r="Q16" s="28" t="str">
        <f aca="false">IF(AND(LEFT($C16,1)="딜",ISNUMBER(L16)),L16,"")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28" t="str">
        <f aca="false">IF(E17="","",MAX(E17,범례!$C$26))</f>
        <v/>
      </c>
      <c r="G17" s="11"/>
      <c r="H17" s="11"/>
      <c r="I17" s="22" t="str">
        <f aca="false">IF(G17="","",G17*H17)</f>
        <v/>
      </c>
      <c r="J17" s="29" t="str">
        <f aca="false">IF(I17="","",직업!$C$5*I17*(1-범례!$C$22)*직업!$F$5)</f>
        <v/>
      </c>
      <c r="K17" s="28" t="str">
        <f aca="false">IF(OR(J17="",D17="",D17=0),"",J17/D17)</f>
        <v/>
      </c>
      <c r="L17" s="28" t="str">
        <f aca="false">IF(OR(J17="",F17="",F17=0),"",J17/F17)</f>
        <v/>
      </c>
      <c r="M17" s="11"/>
      <c r="N17" s="11"/>
      <c r="O17" s="23"/>
      <c r="P17" s="28" t="str">
        <f aca="false">IF(AND(LEFT($C17,1)="딜",ISNUMBER(K17)),K17,"")</f>
        <v/>
      </c>
      <c r="Q17" s="28" t="str">
        <f aca="false">IF(AND(LEFT($C17,1)="딜",ISNUMBER(L17)),L17,"")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28" t="str">
        <f aca="false">IF(E18="","",MAX(E18,범례!$C$26))</f>
        <v/>
      </c>
      <c r="G18" s="11"/>
      <c r="H18" s="11"/>
      <c r="I18" s="22" t="str">
        <f aca="false">IF(G18="","",G18*H18)</f>
        <v/>
      </c>
      <c r="J18" s="29" t="str">
        <f aca="false">IF(I18="","",직업!$C$5*I18*(1-범례!$C$22)*직업!$F$5)</f>
        <v/>
      </c>
      <c r="K18" s="28" t="str">
        <f aca="false">IF(OR(J18="",D18="",D18=0),"",J18/D18)</f>
        <v/>
      </c>
      <c r="L18" s="28" t="str">
        <f aca="false">IF(OR(J18="",F18="",F18=0),"",J18/F18)</f>
        <v/>
      </c>
      <c r="M18" s="11"/>
      <c r="N18" s="11"/>
      <c r="O18" s="23"/>
      <c r="P18" s="28" t="str">
        <f aca="false">IF(AND(LEFT($C18,1)="딜",ISNUMBER(K18)),K18,"")</f>
        <v/>
      </c>
      <c r="Q18" s="28" t="str">
        <f aca="false">IF(AND(LEFT($C18,1)="딜",ISNUMBER(L18)),L18,"")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28" t="str">
        <f aca="false">IF(E19="","",MAX(E19,범례!$C$26))</f>
        <v/>
      </c>
      <c r="G19" s="11"/>
      <c r="H19" s="11"/>
      <c r="I19" s="22" t="str">
        <f aca="false">IF(G19="","",G19*H19)</f>
        <v/>
      </c>
      <c r="J19" s="29" t="str">
        <f aca="false">IF(I19="","",직업!$C$5*I19*(1-범례!$C$22)*직업!$F$5)</f>
        <v/>
      </c>
      <c r="K19" s="28" t="str">
        <f aca="false">IF(OR(J19="",D19="",D19=0),"",J19/D19)</f>
        <v/>
      </c>
      <c r="L19" s="28" t="str">
        <f aca="false">IF(OR(J19="",F19="",F19=0),"",J19/F19)</f>
        <v/>
      </c>
      <c r="M19" s="11"/>
      <c r="N19" s="11"/>
      <c r="O19" s="23"/>
      <c r="P19" s="28" t="str">
        <f aca="false">IF(AND(LEFT($C19,1)="딜",ISNUMBER(K19)),K19,"")</f>
        <v/>
      </c>
      <c r="Q19" s="28" t="str">
        <f aca="false">IF(AND(LEFT($C19,1)="딜",ISNUMBER(L19)),L19,"")</f>
        <v/>
      </c>
    </row>
    <row r="22" customFormat="false" ht="15" hidden="false" customHeight="false" outlineLevel="0" collapsed="false">
      <c r="A22" s="3" t="s">
        <v>86</v>
      </c>
    </row>
    <row r="23" customFormat="false" ht="29.85" hidden="false" customHeight="false" outlineLevel="0" collapsed="false">
      <c r="A23" s="10" t="s">
        <v>87</v>
      </c>
      <c r="B23" s="28" t="n">
        <f aca="false">IFERROR(MAX(P6:P19),"")</f>
        <v>0</v>
      </c>
      <c r="C23" s="30" t="s">
        <v>88</v>
      </c>
    </row>
    <row r="24" customFormat="false" ht="29.85" hidden="false" customHeight="false" outlineLevel="0" collapsed="false">
      <c r="A24" s="10" t="s">
        <v>89</v>
      </c>
      <c r="B24" s="28" t="n">
        <f aca="false">IFERROR(MIN(P6:P19),"")</f>
        <v>0</v>
      </c>
      <c r="C24" s="30"/>
    </row>
    <row r="25" customFormat="false" ht="29.85" hidden="false" customHeight="false" outlineLevel="0" collapsed="false">
      <c r="A25" s="10" t="s">
        <v>90</v>
      </c>
      <c r="B25" s="22" t="str">
        <f aca="false">IFERROR(B23/B24,"")</f>
        <v/>
      </c>
      <c r="C25" s="30" t="s">
        <v>91</v>
      </c>
    </row>
    <row r="26" customFormat="false" ht="29.85" hidden="false" customHeight="false" outlineLevel="0" collapsed="false">
      <c r="A26" s="10" t="s">
        <v>92</v>
      </c>
      <c r="B26" s="28" t="n">
        <f aca="false">IFERROR(MAX(Q6:Q19),"")</f>
        <v>0</v>
      </c>
      <c r="C26" s="30" t="s">
        <v>93</v>
      </c>
    </row>
    <row r="27" customFormat="false" ht="29.85" hidden="false" customHeight="false" outlineLevel="0" collapsed="false">
      <c r="A27" s="10" t="s">
        <v>94</v>
      </c>
      <c r="B27" s="28" t="n">
        <f aca="false">IFERROR(MIN(Q6:Q19),"")</f>
        <v>0</v>
      </c>
      <c r="C27" s="30"/>
    </row>
    <row r="28" customFormat="false" ht="29.85" hidden="false" customHeight="false" outlineLevel="0" collapsed="false">
      <c r="A28" s="10" t="s">
        <v>95</v>
      </c>
      <c r="B28" s="22" t="str">
        <f aca="false">IFERROR(B26/B27,"")</f>
        <v/>
      </c>
      <c r="C28" s="30" t="s">
        <v>91</v>
      </c>
    </row>
    <row r="29" customFormat="false" ht="29.85" hidden="false" customHeight="false" outlineLevel="0" collapsed="false">
      <c r="A29" s="10" t="s">
        <v>96</v>
      </c>
      <c r="B29" s="29" t="n">
        <f aca="false">COUNTIF(C6:C19,"딜*")</f>
        <v>0</v>
      </c>
      <c r="C29" s="30" t="s">
        <v>97</v>
      </c>
    </row>
    <row r="30" customFormat="false" ht="29.85" hidden="false" customHeight="false" outlineLevel="0" collapsed="false">
      <c r="A30" s="10" t="s">
        <v>98</v>
      </c>
      <c r="B30" s="29" t="n">
        <f aca="false">COUNTIF(C6:C19,"차단")</f>
        <v>0</v>
      </c>
      <c r="C30" s="30" t="s">
        <v>99</v>
      </c>
    </row>
    <row r="31" customFormat="false" ht="29.85" hidden="false" customHeight="false" outlineLevel="0" collapsed="false">
      <c r="A31" s="10" t="s">
        <v>100</v>
      </c>
      <c r="B31" s="29" t="n">
        <f aca="false">COUNTIF(C6:C19,"방어")</f>
        <v>0</v>
      </c>
      <c r="C31" s="30" t="s">
        <v>99</v>
      </c>
    </row>
    <row r="33" customFormat="false" ht="15" hidden="false" customHeight="false" outlineLevel="0" collapsed="false">
      <c r="A33" s="14" t="s">
        <v>101</v>
      </c>
    </row>
    <row r="34" customFormat="false" ht="15" hidden="false" customHeight="false" outlineLevel="0" collapsed="false">
      <c r="A34" s="14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10" min="9" style="0" width="17"/>
    <col collapsed="false" customWidth="true" hidden="false" outlineLevel="0" max="12" min="11" style="0" width="16"/>
  </cols>
  <sheetData>
    <row r="1" customFormat="false" ht="20.1" hidden="false" customHeight="false" outlineLevel="0" collapsed="false">
      <c r="A1" s="15" t="s">
        <v>103</v>
      </c>
    </row>
    <row r="2" customFormat="false" ht="15" hidden="false" customHeight="false" outlineLevel="0" collapsed="false">
      <c r="A2" s="24" t="s">
        <v>104</v>
      </c>
    </row>
    <row r="4" customFormat="false" ht="31.5" hidden="false" customHeight="true" outlineLevel="0" collapsed="false">
      <c r="A4" s="8" t="s">
        <v>105</v>
      </c>
      <c r="B4" s="8" t="s">
        <v>66</v>
      </c>
      <c r="C4" s="8" t="s">
        <v>67</v>
      </c>
      <c r="D4" s="8" t="s">
        <v>68</v>
      </c>
      <c r="E4" s="8" t="s">
        <v>70</v>
      </c>
      <c r="F4" s="8" t="s">
        <v>74</v>
      </c>
      <c r="G4" s="8" t="s">
        <v>106</v>
      </c>
      <c r="H4" s="8" t="s">
        <v>107</v>
      </c>
      <c r="I4" s="8" t="s">
        <v>108</v>
      </c>
      <c r="J4" s="8" t="s">
        <v>109</v>
      </c>
      <c r="K4" s="8" t="s">
        <v>110</v>
      </c>
      <c r="L4" s="8" t="s">
        <v>111</v>
      </c>
    </row>
    <row r="5" customFormat="false" ht="15" hidden="false" customHeight="false" outlineLevel="0" collapsed="false">
      <c r="A5" s="31" t="n">
        <v>1</v>
      </c>
      <c r="B5" s="11"/>
      <c r="C5" s="31" t="str">
        <f aca="false">IFERROR(INDEX(스킬!$C:$C,MATCH($B5,스킬!$B:$B,0)),"")</f>
        <v>목표 1.30 이하</v>
      </c>
      <c r="D5" s="29" t="n">
        <f aca="false">IFERROR(INDEX(스킬!$D:$D,MATCH($B5,스킬!$B:$B,0)),"")</f>
        <v>0</v>
      </c>
      <c r="E5" s="28" t="n">
        <f aca="false">IFERROR(INDEX(스킬!$F:$F,MATCH($B5,스킬!$B:$B,0)),"")</f>
        <v>0</v>
      </c>
      <c r="F5" s="29" t="n">
        <f aca="false">IFERROR(INDEX(스킬!$J:$J,MATCH($B5,스킬!$B:$B,0)),"")</f>
        <v>0</v>
      </c>
      <c r="G5" s="31" t="str">
        <f aca="false">IF($A5&lt;=4,"손패","대기열")</f>
        <v>손패</v>
      </c>
      <c r="H5" s="29" t="n">
        <f aca="false">IF($A5&lt;=4,0,SUM($D$5:INDEX($D$5:$D$12,$A5-4)))</f>
        <v>0</v>
      </c>
      <c r="I5" s="28" t="n">
        <f aca="false">IFERROR(H5/범례!$C$23,"")</f>
        <v>0</v>
      </c>
      <c r="J5" s="28" t="n">
        <f aca="false">IF($A5&lt;=4,0,SUM($E$5:INDEX($E$5:$E$12,$A5-4)))</f>
        <v>0</v>
      </c>
      <c r="K5" s="28" t="str">
        <f aca="false">IF(OR(C5="차단",C5="방어"),I5,"")</f>
        <v/>
      </c>
      <c r="L5" s="28" t="str">
        <f aca="false">IF(OR(C5="차단",C5="방어"),J5,"")</f>
        <v/>
      </c>
    </row>
    <row r="6" customFormat="false" ht="15" hidden="false" customHeight="false" outlineLevel="0" collapsed="false">
      <c r="A6" s="31" t="n">
        <v>2</v>
      </c>
      <c r="B6" s="11"/>
      <c r="C6" s="31" t="str">
        <f aca="false">IFERROR(INDEX(스킬!$C:$C,MATCH($B6,스킬!$B:$B,0)),"")</f>
        <v>목표 1.30 이하</v>
      </c>
      <c r="D6" s="29" t="n">
        <f aca="false">IFERROR(INDEX(스킬!$D:$D,MATCH($B6,스킬!$B:$B,0)),"")</f>
        <v>0</v>
      </c>
      <c r="E6" s="28" t="n">
        <f aca="false">IFERROR(INDEX(스킬!$F:$F,MATCH($B6,스킬!$B:$B,0)),"")</f>
        <v>0</v>
      </c>
      <c r="F6" s="29" t="n">
        <f aca="false">IFERROR(INDEX(스킬!$J:$J,MATCH($B6,스킬!$B:$B,0)),"")</f>
        <v>0</v>
      </c>
      <c r="G6" s="31" t="str">
        <f aca="false">IF($A6&lt;=4,"손패","대기열")</f>
        <v>손패</v>
      </c>
      <c r="H6" s="29" t="n">
        <f aca="false">IF($A6&lt;=4,0,SUM($D$5:INDEX($D$5:$D$12,$A6-4)))</f>
        <v>0</v>
      </c>
      <c r="I6" s="28" t="n">
        <f aca="false">IFERROR(H6/범례!$C$23,"")</f>
        <v>0</v>
      </c>
      <c r="J6" s="28" t="n">
        <f aca="false">IF($A6&lt;=4,0,SUM($E$5:INDEX($E$5:$E$12,$A6-4)))</f>
        <v>0</v>
      </c>
      <c r="K6" s="28" t="str">
        <f aca="false">IF(OR(C6="차단",C6="방어"),I6,"")</f>
        <v/>
      </c>
      <c r="L6" s="28" t="str">
        <f aca="false">IF(OR(C6="차단",C6="방어"),J6,"")</f>
        <v/>
      </c>
    </row>
    <row r="7" customFormat="false" ht="15" hidden="false" customHeight="false" outlineLevel="0" collapsed="false">
      <c r="A7" s="31" t="n">
        <v>3</v>
      </c>
      <c r="B7" s="11"/>
      <c r="C7" s="31" t="str">
        <f aca="false">IFERROR(INDEX(스킬!$C:$C,MATCH($B7,스킬!$B:$B,0)),"")</f>
        <v>목표 1.30 이하</v>
      </c>
      <c r="D7" s="29" t="n">
        <f aca="false">IFERROR(INDEX(스킬!$D:$D,MATCH($B7,스킬!$B:$B,0)),"")</f>
        <v>0</v>
      </c>
      <c r="E7" s="28" t="n">
        <f aca="false">IFERROR(INDEX(스킬!$F:$F,MATCH($B7,스킬!$B:$B,0)),"")</f>
        <v>0</v>
      </c>
      <c r="F7" s="29" t="n">
        <f aca="false">IFERROR(INDEX(스킬!$J:$J,MATCH($B7,스킬!$B:$B,0)),"")</f>
        <v>0</v>
      </c>
      <c r="G7" s="31" t="str">
        <f aca="false">IF($A7&lt;=4,"손패","대기열")</f>
        <v>손패</v>
      </c>
      <c r="H7" s="29" t="n">
        <f aca="false">IF($A7&lt;=4,0,SUM($D$5:INDEX($D$5:$D$12,$A7-4)))</f>
        <v>0</v>
      </c>
      <c r="I7" s="28" t="n">
        <f aca="false">IFERROR(H7/범례!$C$23,"")</f>
        <v>0</v>
      </c>
      <c r="J7" s="28" t="n">
        <f aca="false">IF($A7&lt;=4,0,SUM($E$5:INDEX($E$5:$E$12,$A7-4)))</f>
        <v>0</v>
      </c>
      <c r="K7" s="28" t="str">
        <f aca="false">IF(OR(C7="차단",C7="방어"),I7,"")</f>
        <v/>
      </c>
      <c r="L7" s="28" t="str">
        <f aca="false">IF(OR(C7="차단",C7="방어"),J7,"")</f>
        <v/>
      </c>
    </row>
    <row r="8" customFormat="false" ht="15" hidden="false" customHeight="false" outlineLevel="0" collapsed="false">
      <c r="A8" s="31" t="n">
        <v>4</v>
      </c>
      <c r="B8" s="11"/>
      <c r="C8" s="31" t="str">
        <f aca="false">IFERROR(INDEX(스킬!$C:$C,MATCH($B8,스킬!$B:$B,0)),"")</f>
        <v>목표 1.30 이하</v>
      </c>
      <c r="D8" s="29" t="n">
        <f aca="false">IFERROR(INDEX(스킬!$D:$D,MATCH($B8,스킬!$B:$B,0)),"")</f>
        <v>0</v>
      </c>
      <c r="E8" s="28" t="n">
        <f aca="false">IFERROR(INDEX(스킬!$F:$F,MATCH($B8,스킬!$B:$B,0)),"")</f>
        <v>0</v>
      </c>
      <c r="F8" s="29" t="n">
        <f aca="false">IFERROR(INDEX(스킬!$J:$J,MATCH($B8,스킬!$B:$B,0)),"")</f>
        <v>0</v>
      </c>
      <c r="G8" s="31" t="str">
        <f aca="false">IF($A8&lt;=4,"손패","대기열")</f>
        <v>손패</v>
      </c>
      <c r="H8" s="29" t="n">
        <f aca="false">IF($A8&lt;=4,0,SUM($D$5:INDEX($D$5:$D$12,$A8-4)))</f>
        <v>0</v>
      </c>
      <c r="I8" s="28" t="n">
        <f aca="false">IFERROR(H8/범례!$C$23,"")</f>
        <v>0</v>
      </c>
      <c r="J8" s="28" t="n">
        <f aca="false">IF($A8&lt;=4,0,SUM($E$5:INDEX($E$5:$E$12,$A8-4)))</f>
        <v>0</v>
      </c>
      <c r="K8" s="28" t="str">
        <f aca="false">IF(OR(C8="차단",C8="방어"),I8,"")</f>
        <v/>
      </c>
      <c r="L8" s="28" t="str">
        <f aca="false">IF(OR(C8="차단",C8="방어"),J8,"")</f>
        <v/>
      </c>
    </row>
    <row r="9" customFormat="false" ht="15" hidden="false" customHeight="false" outlineLevel="0" collapsed="false">
      <c r="A9" s="31" t="n">
        <v>5</v>
      </c>
      <c r="B9" s="11"/>
      <c r="C9" s="31" t="str">
        <f aca="false">IFERROR(INDEX(스킬!$C:$C,MATCH($B9,스킬!$B:$B,0)),"")</f>
        <v>목표 1.30 이하</v>
      </c>
      <c r="D9" s="29" t="n">
        <f aca="false">IFERROR(INDEX(스킬!$D:$D,MATCH($B9,스킬!$B:$B,0)),"")</f>
        <v>0</v>
      </c>
      <c r="E9" s="28" t="n">
        <f aca="false">IFERROR(INDEX(스킬!$F:$F,MATCH($B9,스킬!$B:$B,0)),"")</f>
        <v>0</v>
      </c>
      <c r="F9" s="29" t="n">
        <f aca="false">IFERROR(INDEX(스킬!$J:$J,MATCH($B9,스킬!$B:$B,0)),"")</f>
        <v>0</v>
      </c>
      <c r="G9" s="31" t="str">
        <f aca="false">IF($A9&lt;=4,"손패","대기열")</f>
        <v>대기열</v>
      </c>
      <c r="H9" s="29" t="n">
        <f aca="false">IF($A9&lt;=4,0,SUM($D$5:INDEX($D$5:$D$12,$A9-4)))</f>
        <v>0</v>
      </c>
      <c r="I9" s="28" t="n">
        <f aca="false">IFERROR(H9/범례!$C$23,"")</f>
        <v>0</v>
      </c>
      <c r="J9" s="28" t="n">
        <f aca="false">IF($A9&lt;=4,0,SUM($E$5:INDEX($E$5:$E$12,$A9-4)))</f>
        <v>0</v>
      </c>
      <c r="K9" s="28" t="str">
        <f aca="false">IF(OR(C9="차단",C9="방어"),I9,"")</f>
        <v/>
      </c>
      <c r="L9" s="28" t="str">
        <f aca="false">IF(OR(C9="차단",C9="방어"),J9,"")</f>
        <v/>
      </c>
    </row>
    <row r="10" customFormat="false" ht="15" hidden="false" customHeight="false" outlineLevel="0" collapsed="false">
      <c r="A10" s="31" t="n">
        <v>6</v>
      </c>
      <c r="B10" s="11"/>
      <c r="C10" s="31" t="str">
        <f aca="false">IFERROR(INDEX(스킬!$C:$C,MATCH($B10,스킬!$B:$B,0)),"")</f>
        <v>목표 1.30 이하</v>
      </c>
      <c r="D10" s="29" t="n">
        <f aca="false">IFERROR(INDEX(스킬!$D:$D,MATCH($B10,스킬!$B:$B,0)),"")</f>
        <v>0</v>
      </c>
      <c r="E10" s="28" t="n">
        <f aca="false">IFERROR(INDEX(스킬!$F:$F,MATCH($B10,스킬!$B:$B,0)),"")</f>
        <v>0</v>
      </c>
      <c r="F10" s="29" t="n">
        <f aca="false">IFERROR(INDEX(스킬!$J:$J,MATCH($B10,스킬!$B:$B,0)),"")</f>
        <v>0</v>
      </c>
      <c r="G10" s="31" t="str">
        <f aca="false">IF($A10&lt;=4,"손패","대기열")</f>
        <v>대기열</v>
      </c>
      <c r="H10" s="29" t="n">
        <f aca="false">IF($A10&lt;=4,0,SUM($D$5:INDEX($D$5:$D$12,$A10-4)))</f>
        <v>0</v>
      </c>
      <c r="I10" s="28" t="n">
        <f aca="false">IFERROR(H10/범례!$C$23,"")</f>
        <v>0</v>
      </c>
      <c r="J10" s="28" t="n">
        <f aca="false">IF($A10&lt;=4,0,SUM($E$5:INDEX($E$5:$E$12,$A10-4)))</f>
        <v>0</v>
      </c>
      <c r="K10" s="28" t="str">
        <f aca="false">IF(OR(C10="차단",C10="방어"),I10,"")</f>
        <v/>
      </c>
      <c r="L10" s="28" t="str">
        <f aca="false">IF(OR(C10="차단",C10="방어"),J10,"")</f>
        <v/>
      </c>
    </row>
    <row r="11" customFormat="false" ht="15" hidden="false" customHeight="false" outlineLevel="0" collapsed="false">
      <c r="A11" s="31" t="n">
        <v>7</v>
      </c>
      <c r="B11" s="11"/>
      <c r="C11" s="31" t="str">
        <f aca="false">IFERROR(INDEX(스킬!$C:$C,MATCH($B11,스킬!$B:$B,0)),"")</f>
        <v>목표 1.30 이하</v>
      </c>
      <c r="D11" s="29" t="n">
        <f aca="false">IFERROR(INDEX(스킬!$D:$D,MATCH($B11,스킬!$B:$B,0)),"")</f>
        <v>0</v>
      </c>
      <c r="E11" s="28" t="n">
        <f aca="false">IFERROR(INDEX(스킬!$F:$F,MATCH($B11,스킬!$B:$B,0)),"")</f>
        <v>0</v>
      </c>
      <c r="F11" s="29" t="n">
        <f aca="false">IFERROR(INDEX(스킬!$J:$J,MATCH($B11,스킬!$B:$B,0)),"")</f>
        <v>0</v>
      </c>
      <c r="G11" s="31" t="str">
        <f aca="false">IF($A11&lt;=4,"손패","대기열")</f>
        <v>대기열</v>
      </c>
      <c r="H11" s="29" t="n">
        <f aca="false">IF($A11&lt;=4,0,SUM($D$5:INDEX($D$5:$D$12,$A11-4)))</f>
        <v>0</v>
      </c>
      <c r="I11" s="28" t="n">
        <f aca="false">IFERROR(H11/범례!$C$23,"")</f>
        <v>0</v>
      </c>
      <c r="J11" s="28" t="n">
        <f aca="false">IF($A11&lt;=4,0,SUM($E$5:INDEX($E$5:$E$12,$A11-4)))</f>
        <v>0</v>
      </c>
      <c r="K11" s="28" t="str">
        <f aca="false">IF(OR(C11="차단",C11="방어"),I11,"")</f>
        <v/>
      </c>
      <c r="L11" s="28" t="str">
        <f aca="false">IF(OR(C11="차단",C11="방어"),J11,"")</f>
        <v/>
      </c>
    </row>
    <row r="12" customFormat="false" ht="15" hidden="false" customHeight="false" outlineLevel="0" collapsed="false">
      <c r="A12" s="31" t="n">
        <v>8</v>
      </c>
      <c r="B12" s="11"/>
      <c r="C12" s="31" t="str">
        <f aca="false">IFERROR(INDEX(스킬!$C:$C,MATCH($B12,스킬!$B:$B,0)),"")</f>
        <v>목표 1.30 이하</v>
      </c>
      <c r="D12" s="29" t="n">
        <f aca="false">IFERROR(INDEX(스킬!$D:$D,MATCH($B12,스킬!$B:$B,0)),"")</f>
        <v>0</v>
      </c>
      <c r="E12" s="28" t="n">
        <f aca="false">IFERROR(INDEX(스킬!$F:$F,MATCH($B12,스킬!$B:$B,0)),"")</f>
        <v>0</v>
      </c>
      <c r="F12" s="29" t="n">
        <f aca="false">IFERROR(INDEX(스킬!$J:$J,MATCH($B12,스킬!$B:$B,0)),"")</f>
        <v>0</v>
      </c>
      <c r="G12" s="31" t="str">
        <f aca="false">IF($A12&lt;=4,"손패","대기열")</f>
        <v>대기열</v>
      </c>
      <c r="H12" s="29" t="n">
        <f aca="false">IF($A12&lt;=4,0,SUM($D$5:INDEX($D$5:$D$12,$A12-4)))</f>
        <v>0</v>
      </c>
      <c r="I12" s="28" t="n">
        <f aca="false">IFERROR(H12/범례!$C$23,"")</f>
        <v>0</v>
      </c>
      <c r="J12" s="28" t="n">
        <f aca="false">IF($A12&lt;=4,0,SUM($E$5:INDEX($E$5:$E$12,$A12-4)))</f>
        <v>0</v>
      </c>
      <c r="K12" s="28" t="str">
        <f aca="false">IF(OR(C12="차단",C12="방어"),I12,"")</f>
        <v/>
      </c>
      <c r="L12" s="28" t="str">
        <f aca="false">IF(OR(C12="차단",C12="방어"),J12,"")</f>
        <v/>
      </c>
    </row>
    <row r="15" customFormat="false" ht="15" hidden="false" customHeight="false" outlineLevel="0" collapsed="false">
      <c r="A15" s="3" t="s">
        <v>112</v>
      </c>
    </row>
    <row r="16" customFormat="false" ht="29.85" hidden="false" customHeight="false" outlineLevel="0" collapsed="false">
      <c r="A16" s="10" t="s">
        <v>113</v>
      </c>
      <c r="B16" s="29" t="n">
        <f aca="false">SUM(D5:D12)</f>
        <v>0</v>
      </c>
      <c r="D16" s="30"/>
    </row>
    <row r="17" customFormat="false" ht="90.25" hidden="false" customHeight="false" outlineLevel="0" collapsed="false">
      <c r="A17" s="12" t="s">
        <v>114</v>
      </c>
      <c r="B17" s="28" t="n">
        <f aca="false">IFERROR(B16/범례!$C$23,"")</f>
        <v>0</v>
      </c>
      <c r="D17" s="30" t="s">
        <v>115</v>
      </c>
    </row>
    <row r="18" customFormat="false" ht="90.25" hidden="false" customHeight="false" outlineLevel="0" collapsed="false">
      <c r="A18" s="10" t="s">
        <v>116</v>
      </c>
      <c r="B18" s="28" t="n">
        <f aca="false">SUM(E5:E12)</f>
        <v>0</v>
      </c>
      <c r="D18" s="32" t="s">
        <v>117</v>
      </c>
    </row>
    <row r="19" customFormat="false" ht="58.2" hidden="false" customHeight="false" outlineLevel="0" collapsed="false">
      <c r="A19" s="10" t="s">
        <v>118</v>
      </c>
      <c r="B19" s="29" t="n">
        <f aca="false">SUM(F5:F12)</f>
        <v>0</v>
      </c>
      <c r="D19" s="30"/>
    </row>
    <row r="20" customFormat="false" ht="44" hidden="false" customHeight="false" outlineLevel="0" collapsed="false">
      <c r="A20" s="10" t="s">
        <v>119</v>
      </c>
      <c r="B20" s="28" t="str">
        <f aca="false">IFERROR(B19/B17,"")</f>
        <v/>
      </c>
      <c r="D20" s="30" t="s">
        <v>120</v>
      </c>
    </row>
    <row r="21" customFormat="false" ht="86.55" hidden="false" customHeight="false" outlineLevel="0" collapsed="false">
      <c r="A21" s="10" t="s">
        <v>121</v>
      </c>
      <c r="B21" s="22" t="str">
        <f aca="false">IFERROR(범례!$C$27/B17,"")</f>
        <v/>
      </c>
      <c r="D21" s="30" t="s">
        <v>122</v>
      </c>
    </row>
    <row r="22" customFormat="false" ht="72.35" hidden="false" customHeight="false" outlineLevel="0" collapsed="false">
      <c r="A22" s="10" t="s">
        <v>123</v>
      </c>
      <c r="B22" s="29" t="n">
        <f aca="false">COUNTIF(C5:C12,"차단")+COUNTIF(C5:C12,"방어")</f>
        <v>0</v>
      </c>
      <c r="D22" s="30" t="s">
        <v>124</v>
      </c>
    </row>
    <row r="23" customFormat="false" ht="77.6" hidden="false" customHeight="false" outlineLevel="0" collapsed="false">
      <c r="A23" s="10" t="s">
        <v>125</v>
      </c>
      <c r="B23" s="28" t="n">
        <f aca="false">IFERROR(MAX(K5:K12),"")</f>
        <v>0</v>
      </c>
      <c r="D23" s="30" t="s">
        <v>126</v>
      </c>
    </row>
    <row r="24" customFormat="false" ht="86.55" hidden="false" customHeight="false" outlineLevel="0" collapsed="false">
      <c r="A24" s="10" t="s">
        <v>127</v>
      </c>
      <c r="B24" s="28" t="n">
        <f aca="false">IFERROR(MAX(L5:L12),"")</f>
        <v>0</v>
      </c>
      <c r="D24" s="30" t="s">
        <v>128</v>
      </c>
    </row>
    <row r="28" customFormat="false" ht="15" hidden="false" customHeight="false" outlineLevel="0" collapsed="false">
      <c r="A28" s="3" t="s">
        <v>129</v>
      </c>
    </row>
    <row r="29" customFormat="false" ht="141" hidden="false" customHeight="false" outlineLevel="0" collapsed="false">
      <c r="A29" s="30" t="s">
        <v>130</v>
      </c>
    </row>
    <row r="30" customFormat="false" ht="115.65" hidden="false" customHeight="false" outlineLevel="0" collapsed="false">
      <c r="A30" s="30" t="s">
        <v>131</v>
      </c>
    </row>
    <row r="31" customFormat="false" ht="166.4" hidden="false" customHeight="false" outlineLevel="0" collapsed="false">
      <c r="A31" s="30" t="s">
        <v>132</v>
      </c>
    </row>
    <row r="32" customFormat="false" ht="166.4" hidden="false" customHeight="false" outlineLevel="0" collapsed="false">
      <c r="A32" s="30" t="s">
        <v>133</v>
      </c>
    </row>
    <row r="33" customFormat="false" ht="153.7" hidden="false" customHeight="false" outlineLevel="0" collapsed="false">
      <c r="A33" s="30" t="s">
        <v>134</v>
      </c>
    </row>
    <row r="34" customFormat="false" ht="166.4" hidden="false" customHeight="false" outlineLevel="0" collapsed="false">
      <c r="A34" s="30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5" min="3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17"/>
    <col collapsed="false" customWidth="true" hidden="false" outlineLevel="0" max="10" min="10" style="0" width="44"/>
  </cols>
  <sheetData>
    <row r="1" customFormat="false" ht="16.15" hidden="false" customHeight="false" outlineLevel="0" collapsed="false">
      <c r="A1" s="15" t="s">
        <v>136</v>
      </c>
    </row>
    <row r="2" customFormat="false" ht="15" hidden="false" customHeight="false" outlineLevel="0" collapsed="false">
      <c r="A2" s="24" t="s">
        <v>137</v>
      </c>
    </row>
    <row r="4" customFormat="false" ht="31.5" hidden="false" customHeight="true" outlineLevel="0" collapsed="false">
      <c r="A4" s="8" t="s">
        <v>54</v>
      </c>
      <c r="B4" s="8" t="s">
        <v>138</v>
      </c>
      <c r="C4" s="16" t="s">
        <v>55</v>
      </c>
      <c r="D4" s="8" t="s">
        <v>56</v>
      </c>
      <c r="E4" s="8" t="s">
        <v>57</v>
      </c>
      <c r="F4" s="8" t="s">
        <v>139</v>
      </c>
      <c r="G4" s="8" t="s">
        <v>69</v>
      </c>
      <c r="H4" s="8" t="s">
        <v>140</v>
      </c>
      <c r="I4" s="8" t="s">
        <v>141</v>
      </c>
      <c r="J4" s="8" t="s">
        <v>142</v>
      </c>
    </row>
    <row r="5" customFormat="false" ht="15" hidden="false" customHeight="false" outlineLevel="0" collapsed="false">
      <c r="A5" s="17" t="s">
        <v>143</v>
      </c>
      <c r="B5" s="25" t="s">
        <v>144</v>
      </c>
      <c r="C5" s="25" t="n">
        <v>300</v>
      </c>
      <c r="D5" s="25" t="n">
        <v>60</v>
      </c>
      <c r="E5" s="25" t="n">
        <v>20</v>
      </c>
      <c r="F5" s="18" t="n">
        <f aca="false">IF(E5="","",E5/(E5+범례!$C$20))</f>
        <v>0.166666666666667</v>
      </c>
      <c r="G5" s="25" t="n">
        <v>3</v>
      </c>
      <c r="H5" s="25" t="s">
        <v>145</v>
      </c>
      <c r="I5" s="26" t="str">
        <f aca="false">IFERROR(C5/덱시뮬!$B$20,"")</f>
        <v/>
      </c>
      <c r="J5" s="20" t="s">
        <v>146</v>
      </c>
    </row>
    <row r="6" customFormat="false" ht="15" hidden="false" customHeight="false" outlineLevel="0" collapsed="false">
      <c r="A6" s="11"/>
      <c r="B6" s="11"/>
      <c r="C6" s="11"/>
      <c r="D6" s="11"/>
      <c r="E6" s="11"/>
      <c r="F6" s="13" t="str">
        <f aca="false">IF(E6="","",E6/(E6+범례!$C$20))</f>
        <v/>
      </c>
      <c r="G6" s="11"/>
      <c r="H6" s="11"/>
      <c r="I6" s="28" t="str">
        <f aca="false">IFERROR(C6/덱시뮬!$B$20,"")</f>
        <v/>
      </c>
      <c r="J6" s="23"/>
    </row>
    <row r="7" customFormat="false" ht="15" hidden="false" customHeight="false" outlineLevel="0" collapsed="false">
      <c r="A7" s="11"/>
      <c r="B7" s="11"/>
      <c r="C7" s="11"/>
      <c r="D7" s="11"/>
      <c r="E7" s="11"/>
      <c r="F7" s="13" t="str">
        <f aca="false">IF(E7="","",E7/(E7+범례!$C$20))</f>
        <v/>
      </c>
      <c r="G7" s="11"/>
      <c r="H7" s="11"/>
      <c r="I7" s="28" t="str">
        <f aca="false">IFERROR(C7/덱시뮬!$B$20,"")</f>
        <v/>
      </c>
      <c r="J7" s="23"/>
    </row>
    <row r="8" customFormat="false" ht="15" hidden="false" customHeight="false" outlineLevel="0" collapsed="false">
      <c r="A8" s="11"/>
      <c r="B8" s="11"/>
      <c r="C8" s="11"/>
      <c r="D8" s="11"/>
      <c r="E8" s="11"/>
      <c r="F8" s="13" t="str">
        <f aca="false">IF(E8="","",E8/(E8+범례!$C$20))</f>
        <v/>
      </c>
      <c r="G8" s="11"/>
      <c r="H8" s="11"/>
      <c r="I8" s="28" t="str">
        <f aca="false">IFERROR(C8/덱시뮬!$B$20,"")</f>
        <v/>
      </c>
      <c r="J8" s="23"/>
    </row>
    <row r="9" customFormat="false" ht="15" hidden="false" customHeight="false" outlineLevel="0" collapsed="false">
      <c r="A9" s="11"/>
      <c r="B9" s="11"/>
      <c r="C9" s="11"/>
      <c r="D9" s="11"/>
      <c r="E9" s="11"/>
      <c r="F9" s="13" t="str">
        <f aca="false">IF(E9="","",E9/(E9+범례!$C$20))</f>
        <v/>
      </c>
      <c r="G9" s="11"/>
      <c r="H9" s="11"/>
      <c r="I9" s="28" t="str">
        <f aca="false">IFERROR(C9/덱시뮬!$B$20,"")</f>
        <v/>
      </c>
      <c r="J9" s="23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3" t="str">
        <f aca="false">IF(E10="","",E10/(E10+범례!$C$20))</f>
        <v/>
      </c>
      <c r="G10" s="11"/>
      <c r="H10" s="11"/>
      <c r="I10" s="28" t="str">
        <f aca="false">IFERROR(C10/덱시뮬!$B$20,"")</f>
        <v/>
      </c>
      <c r="J10" s="23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3" t="str">
        <f aca="false">IF(E11="","",E11/(E11+범례!$C$20))</f>
        <v/>
      </c>
      <c r="G11" s="11"/>
      <c r="H11" s="11"/>
      <c r="I11" s="28" t="str">
        <f aca="false">IFERROR(C11/덱시뮬!$B$20,"")</f>
        <v/>
      </c>
      <c r="J11" s="23"/>
    </row>
    <row r="14" customFormat="false" ht="15" hidden="false" customHeight="false" outlineLevel="0" collapsed="false">
      <c r="A14" s="2" t="s">
        <v>147</v>
      </c>
    </row>
    <row r="15" customFormat="false" ht="15" hidden="false" customHeight="false" outlineLevel="0" collapsed="false">
      <c r="A15" s="14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4" min="3" style="0" width="18"/>
    <col collapsed="false" customWidth="true" hidden="false" outlineLevel="0" max="6" min="5" style="0" width="15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20.1" hidden="false" customHeight="false" outlineLevel="0" collapsed="false">
      <c r="A1" s="15" t="s">
        <v>149</v>
      </c>
    </row>
    <row r="2" customFormat="false" ht="15" hidden="false" customHeight="false" outlineLevel="0" collapsed="false">
      <c r="A2" s="24" t="s">
        <v>150</v>
      </c>
    </row>
    <row r="4" customFormat="false" ht="31.5" hidden="false" customHeight="true" outlineLevel="0" collapsed="false">
      <c r="A4" s="8" t="s">
        <v>151</v>
      </c>
      <c r="B4" s="8" t="s">
        <v>152</v>
      </c>
      <c r="C4" s="8" t="s">
        <v>153</v>
      </c>
      <c r="D4" s="8" t="s">
        <v>154</v>
      </c>
      <c r="E4" s="8" t="s">
        <v>155</v>
      </c>
      <c r="F4" s="8" t="s">
        <v>156</v>
      </c>
      <c r="G4" s="8" t="s">
        <v>157</v>
      </c>
      <c r="H4" s="8" t="s">
        <v>158</v>
      </c>
    </row>
    <row r="5" customFormat="false" ht="15" hidden="false" customHeight="false" outlineLevel="0" collapsed="false">
      <c r="A5" s="31" t="n">
        <v>1</v>
      </c>
      <c r="B5" s="23"/>
      <c r="C5" s="11"/>
      <c r="D5" s="11"/>
      <c r="E5" s="29" t="str">
        <f aca="false">IF(C5="","",IF(A5=1,직업!$B$5-C5,E4-C5))</f>
        <v/>
      </c>
      <c r="F5" s="29" t="str">
        <f aca="false">IF(D5="","",IF(A5=1,직업!$B$5-D5,F4-D5))</f>
        <v/>
      </c>
      <c r="G5" s="31" t="str">
        <f aca="false">IF(F5="","",IF(F5&lt;=0,"사망",IF(F5&lt;100,"위험","안전")))</f>
        <v/>
      </c>
      <c r="H5" s="23"/>
    </row>
    <row r="6" customFormat="false" ht="15" hidden="false" customHeight="false" outlineLevel="0" collapsed="false">
      <c r="A6" s="31" t="n">
        <v>2</v>
      </c>
      <c r="B6" s="23"/>
      <c r="C6" s="11"/>
      <c r="D6" s="11"/>
      <c r="E6" s="29" t="str">
        <f aca="false">IF(C6="","",IF(A6=1,직업!$B$5-C6,E5-C6))</f>
        <v/>
      </c>
      <c r="F6" s="29" t="str">
        <f aca="false">IF(D6="","",IF(A6=1,직업!$B$5-D6,F5-D6))</f>
        <v/>
      </c>
      <c r="G6" s="31" t="str">
        <f aca="false">IF(F6="","",IF(F6&lt;=0,"사망",IF(F6&lt;100,"위험","안전")))</f>
        <v/>
      </c>
      <c r="H6" s="23"/>
    </row>
    <row r="7" customFormat="false" ht="15" hidden="false" customHeight="false" outlineLevel="0" collapsed="false">
      <c r="A7" s="31" t="n">
        <v>3</v>
      </c>
      <c r="B7" s="23"/>
      <c r="C7" s="11"/>
      <c r="D7" s="11"/>
      <c r="E7" s="29" t="str">
        <f aca="false">IF(C7="","",IF(A7=1,직업!$B$5-C7,E6-C7))</f>
        <v/>
      </c>
      <c r="F7" s="29" t="str">
        <f aca="false">IF(D7="","",IF(A7=1,직업!$B$5-D7,F6-D7))</f>
        <v/>
      </c>
      <c r="G7" s="31" t="str">
        <f aca="false">IF(F7="","",IF(F7&lt;=0,"사망",IF(F7&lt;100,"위험","안전")))</f>
        <v/>
      </c>
      <c r="H7" s="23"/>
    </row>
    <row r="8" customFormat="false" ht="15" hidden="false" customHeight="false" outlineLevel="0" collapsed="false">
      <c r="A8" s="31" t="n">
        <v>4</v>
      </c>
      <c r="B8" s="23"/>
      <c r="C8" s="11"/>
      <c r="D8" s="11"/>
      <c r="E8" s="29" t="str">
        <f aca="false">IF(C8="","",IF(A8=1,직업!$B$5-C8,E7-C8))</f>
        <v/>
      </c>
      <c r="F8" s="29" t="str">
        <f aca="false">IF(D8="","",IF(A8=1,직업!$B$5-D8,F7-D8))</f>
        <v/>
      </c>
      <c r="G8" s="31" t="str">
        <f aca="false">IF(F8="","",IF(F8&lt;=0,"사망",IF(F8&lt;100,"위험","안전")))</f>
        <v/>
      </c>
      <c r="H8" s="23"/>
    </row>
    <row r="9" customFormat="false" ht="15" hidden="false" customHeight="false" outlineLevel="0" collapsed="false">
      <c r="A9" s="31" t="n">
        <v>5</v>
      </c>
      <c r="B9" s="23"/>
      <c r="C9" s="11"/>
      <c r="D9" s="11"/>
      <c r="E9" s="29" t="str">
        <f aca="false">IF(C9="","",IF(A9=1,직업!$B$5-C9,E8-C9))</f>
        <v/>
      </c>
      <c r="F9" s="29" t="str">
        <f aca="false">IF(D9="","",IF(A9=1,직업!$B$5-D9,F8-D9))</f>
        <v/>
      </c>
      <c r="G9" s="31" t="str">
        <f aca="false">IF(F9="","",IF(F9&lt;=0,"사망",IF(F9&lt;100,"위험","안전")))</f>
        <v/>
      </c>
      <c r="H9" s="23"/>
    </row>
    <row r="12" customFormat="false" ht="15" hidden="false" customHeight="false" outlineLevel="0" collapsed="false">
      <c r="A12" s="3" t="s">
        <v>112</v>
      </c>
    </row>
    <row r="13" customFormat="false" ht="44" hidden="false" customHeight="false" outlineLevel="0" collapsed="false">
      <c r="A13" s="10" t="s">
        <v>159</v>
      </c>
      <c r="B13" s="29" t="n">
        <f aca="false">IFERROR(SUM(C5:C9),"")</f>
        <v>0</v>
      </c>
      <c r="D13" s="30"/>
    </row>
    <row r="14" customFormat="false" ht="44" hidden="false" customHeight="false" outlineLevel="0" collapsed="false">
      <c r="A14" s="10" t="s">
        <v>160</v>
      </c>
      <c r="B14" s="29" t="n">
        <f aca="false">IFERROR(SUM(D5:D9),"")</f>
        <v>0</v>
      </c>
      <c r="D14" s="30"/>
    </row>
    <row r="15" customFormat="false" ht="29.85" hidden="false" customHeight="false" outlineLevel="0" collapsed="false">
      <c r="A15" s="10" t="s">
        <v>161</v>
      </c>
      <c r="B15" s="29" t="n">
        <f aca="false">IFERROR(직업!$B$5*0.5*범례!$C$29,"")</f>
        <v>750</v>
      </c>
      <c r="D15" s="30" t="s">
        <v>162</v>
      </c>
    </row>
    <row r="16" customFormat="false" ht="29.85" hidden="false" customHeight="false" outlineLevel="0" collapsed="false">
      <c r="A16" s="10" t="s">
        <v>163</v>
      </c>
      <c r="B16" s="29" t="n">
        <f aca="false">IFERROR(직업!$B$5+B15,"")</f>
        <v>1250</v>
      </c>
      <c r="D16" s="30" t="s">
        <v>164</v>
      </c>
    </row>
    <row r="17" customFormat="false" ht="29.85" hidden="false" customHeight="false" outlineLevel="0" collapsed="false">
      <c r="A17" s="10" t="s">
        <v>165</v>
      </c>
      <c r="B17" s="29" t="n">
        <f aca="false">IFERROR(B16-B13,"")</f>
        <v>1250</v>
      </c>
      <c r="D17" s="30" t="s">
        <v>166</v>
      </c>
    </row>
    <row r="18" customFormat="false" ht="39.55" hidden="false" customHeight="false" outlineLevel="0" collapsed="false">
      <c r="A18" s="10" t="s">
        <v>167</v>
      </c>
      <c r="B18" s="29" t="n">
        <f aca="false">IFERROR(B16-B14,"")</f>
        <v>1250</v>
      </c>
      <c r="D18" s="30" t="s">
        <v>168</v>
      </c>
    </row>
    <row r="19" customFormat="false" ht="44" hidden="false" customHeight="false" outlineLevel="0" collapsed="false">
      <c r="A19" s="10" t="s">
        <v>169</v>
      </c>
      <c r="B19" s="29" t="n">
        <f aca="false">IFERROR(B14-B13,"")</f>
        <v>0</v>
      </c>
      <c r="D19" s="30" t="s">
        <v>170</v>
      </c>
    </row>
    <row r="22" customFormat="false" ht="15" hidden="false" customHeight="false" outlineLevel="0" collapsed="false">
      <c r="A22" s="3" t="s">
        <v>171</v>
      </c>
    </row>
    <row r="23" customFormat="false" ht="115.65" hidden="false" customHeight="false" outlineLevel="0" collapsed="false">
      <c r="A23" s="30" t="s">
        <v>172</v>
      </c>
    </row>
    <row r="24" customFormat="false" ht="153.7" hidden="false" customHeight="false" outlineLevel="0" collapsed="false">
      <c r="A24" s="32" t="s">
        <v>173</v>
      </c>
    </row>
    <row r="25" customFormat="false" ht="151.45" hidden="false" customHeight="false" outlineLevel="0" collapsed="false">
      <c r="A25" s="32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10"/>
    <col collapsed="false" customWidth="true" hidden="false" outlineLevel="0" max="7" min="7" style="0" width="20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5" t="s">
        <v>175</v>
      </c>
    </row>
    <row r="2" customFormat="false" ht="15" hidden="false" customHeight="false" outlineLevel="0" collapsed="false">
      <c r="A2" s="24" t="s">
        <v>176</v>
      </c>
    </row>
    <row r="4" customFormat="false" ht="31.5" hidden="false" customHeight="true" outlineLevel="0" collapsed="false">
      <c r="A4" s="8" t="s">
        <v>177</v>
      </c>
      <c r="B4" s="8" t="s">
        <v>152</v>
      </c>
      <c r="C4" s="8" t="s">
        <v>178</v>
      </c>
      <c r="D4" s="8" t="s">
        <v>179</v>
      </c>
      <c r="E4" s="8" t="s">
        <v>180</v>
      </c>
      <c r="F4" s="8" t="s">
        <v>181</v>
      </c>
      <c r="G4" s="8" t="s">
        <v>182</v>
      </c>
      <c r="H4" s="8" t="s">
        <v>183</v>
      </c>
    </row>
    <row r="5" customFormat="false" ht="15" hidden="false" customHeight="false" outlineLevel="0" collapsed="false">
      <c r="A5" s="25" t="n">
        <v>1</v>
      </c>
      <c r="B5" s="33" t="s">
        <v>184</v>
      </c>
      <c r="C5" s="25" t="n">
        <v>40</v>
      </c>
      <c r="D5" s="25" t="n">
        <v>58</v>
      </c>
      <c r="E5" s="27" t="n">
        <f aca="false">IF(OR(C5="",D5=""),"",D5-C5)</f>
        <v>18</v>
      </c>
      <c r="F5" s="18" t="n">
        <f aca="false">IF(OR(C5="",D5="",C5=0),"",(D5-C5)/C5)</f>
        <v>0.45</v>
      </c>
      <c r="G5" s="20" t="s">
        <v>185</v>
      </c>
      <c r="H5" s="20" t="s">
        <v>186</v>
      </c>
    </row>
    <row r="6" customFormat="false" ht="15" hidden="false" customHeight="false" outlineLevel="0" collapsed="false">
      <c r="A6" s="11"/>
      <c r="B6" s="23"/>
      <c r="C6" s="11"/>
      <c r="D6" s="11"/>
      <c r="E6" s="29" t="str">
        <f aca="false">IF(OR(C6="",D6=""),"",D6-C6)</f>
        <v/>
      </c>
      <c r="F6" s="13" t="str">
        <f aca="false">IF(OR(C6="",D6="",C6=0),"",(D6-C6)/C6)</f>
        <v/>
      </c>
      <c r="G6" s="23"/>
      <c r="H6" s="23"/>
    </row>
    <row r="7" customFormat="false" ht="15" hidden="false" customHeight="false" outlineLevel="0" collapsed="false">
      <c r="A7" s="11"/>
      <c r="B7" s="23"/>
      <c r="C7" s="11"/>
      <c r="D7" s="11"/>
      <c r="E7" s="29" t="str">
        <f aca="false">IF(OR(C7="",D7=""),"",D7-C7)</f>
        <v/>
      </c>
      <c r="F7" s="13" t="str">
        <f aca="false">IF(OR(C7="",D7="",C7=0),"",(D7-C7)/C7)</f>
        <v/>
      </c>
      <c r="G7" s="23"/>
      <c r="H7" s="23"/>
    </row>
    <row r="8" customFormat="false" ht="15" hidden="false" customHeight="false" outlineLevel="0" collapsed="false">
      <c r="A8" s="11"/>
      <c r="B8" s="23"/>
      <c r="C8" s="11"/>
      <c r="D8" s="11"/>
      <c r="E8" s="29" t="str">
        <f aca="false">IF(OR(C8="",D8=""),"",D8-C8)</f>
        <v/>
      </c>
      <c r="F8" s="13" t="str">
        <f aca="false">IF(OR(C8="",D8="",C8=0),"",(D8-C8)/C8)</f>
        <v/>
      </c>
      <c r="G8" s="23"/>
      <c r="H8" s="23"/>
    </row>
    <row r="9" customFormat="false" ht="15" hidden="false" customHeight="false" outlineLevel="0" collapsed="false">
      <c r="A9" s="11"/>
      <c r="B9" s="23"/>
      <c r="C9" s="11"/>
      <c r="D9" s="11"/>
      <c r="E9" s="29" t="str">
        <f aca="false">IF(OR(C9="",D9=""),"",D9-C9)</f>
        <v/>
      </c>
      <c r="F9" s="13" t="str">
        <f aca="false">IF(OR(C9="",D9="",C9=0),"",(D9-C9)/C9)</f>
        <v/>
      </c>
      <c r="G9" s="23"/>
      <c r="H9" s="23"/>
    </row>
    <row r="10" customFormat="false" ht="15" hidden="false" customHeight="false" outlineLevel="0" collapsed="false">
      <c r="A10" s="11"/>
      <c r="B10" s="23"/>
      <c r="C10" s="11"/>
      <c r="D10" s="11"/>
      <c r="E10" s="29" t="str">
        <f aca="false">IF(OR(C10="",D10=""),"",D10-C10)</f>
        <v/>
      </c>
      <c r="F10" s="13" t="str">
        <f aca="false">IF(OR(C10="",D10="",C10=0),"",(D10-C10)/C10)</f>
        <v/>
      </c>
      <c r="G10" s="23"/>
      <c r="H10" s="23"/>
    </row>
    <row r="11" customFormat="false" ht="15" hidden="false" customHeight="false" outlineLevel="0" collapsed="false">
      <c r="A11" s="11"/>
      <c r="B11" s="23"/>
      <c r="C11" s="11"/>
      <c r="D11" s="11"/>
      <c r="E11" s="29" t="str">
        <f aca="false">IF(OR(C11="",D11=""),"",D11-C11)</f>
        <v/>
      </c>
      <c r="F11" s="13" t="str">
        <f aca="false">IF(OR(C11="",D11="",C11=0),"",(D11-C11)/C11)</f>
        <v/>
      </c>
      <c r="G11" s="23"/>
      <c r="H11" s="23"/>
    </row>
    <row r="14" customFormat="false" ht="39.55" hidden="false" customHeight="false" outlineLevel="0" collapsed="false">
      <c r="A14" s="3" t="s">
        <v>187</v>
      </c>
      <c r="C14" s="31" t="n">
        <f aca="false">IFERROR(SUM(C6:C11),"")</f>
        <v>0</v>
      </c>
      <c r="E14" s="30" t="s">
        <v>188</v>
      </c>
    </row>
    <row r="15" customFormat="false" ht="15" hidden="false" customHeight="false" outlineLevel="0" collapsed="false">
      <c r="A15" s="3" t="s">
        <v>189</v>
      </c>
      <c r="C15" s="31" t="n">
        <f aca="false">IFERROR(SUM(D6:D11),"")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2026-09-15T02:53:04Z</dcterms:created>
  <dc:creator>openpyxl</dc:creator>
  <dc:description/>
  <dc:language>en-US</dc:language>
  <cp:lastModifiedBy/>
  <dcterms:modified xsi:type="dcterms:W3CDTF">2026-09-15T02:53:04Z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